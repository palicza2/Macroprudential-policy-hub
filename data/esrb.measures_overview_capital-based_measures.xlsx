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filterPrivacy="1" defaultThemeVersion="124226"/>
  <xr:revisionPtr revIDLastSave="0" documentId="13_ncr:1_{12EE10C6-E14A-4C9F-9C00-0EBE6ECF1AB3}" xr6:coauthVersionLast="47" xr6:coauthVersionMax="47" xr10:uidLastSave="{00000000-0000-0000-0000-000000000000}"/>
  <bookViews>
    <workbookView xWindow="-98" yWindow="-98" windowWidth="19396" windowHeight="11475" xr2:uid="{00000000-000D-0000-FFFF-FFFF00000000}"/>
  </bookViews>
  <sheets>
    <sheet name="Overview of measures" sheetId="4" r:id="rId1"/>
    <sheet name="Other measures" sheetId="5" r:id="rId2"/>
  </sheets>
  <definedNames>
    <definedName name="_xlnm._FilterDatabase" localSheetId="1" hidden="1">'Other measures'!$A$1:$F$16</definedName>
    <definedName name="CIQWBGuid" hidden="1">"60fc0220-888c-4098-8b25-18aba00e6f26"</definedName>
    <definedName name="CIQWBInfo" hidden="1">"{ ""CIQVersion"":""9.48.1616.5174"" }"</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_xlnm.Print_Area" localSheetId="0">'Overview of measures'!$A$1:$K$274</definedName>
    <definedName name="_xlnm.Print_Titles" localSheetId="0">'Overview of measures'!$5:$7</definedName>
    <definedName name="Z_78D8C7D0_4514_4295_90B6_D342E13FA9BE_.wvu.PrintArea" localSheetId="0" hidden="1">'Overview of measures'!$A$1:$K$274</definedName>
    <definedName name="Z_78D8C7D0_4514_4295_90B6_D342E13FA9BE_.wvu.PrintTitles" localSheetId="0" hidden="1">'Overview of measures'!$5:$7</definedName>
    <definedName name="Z_78D8C7D0_4514_4295_90B6_D342E13FA9BE_.wvu.Rows" localSheetId="0" hidden="1">'Overview of measures'!$27:$35,'Overview of measures'!$38:$43,'Overview of measures'!$46:$52,'Overview of measures'!$55:$57,'Overview of measures'!$60:$65,'Overview of measures'!$69:$75,'Overview of measures'!$80:$83,'Overview of measures'!$94:$100,'Overview of measures'!$126:$132,'Overview of measures'!$143:$151,'Overview of measures'!$158:$161,'Overview of measures'!$188:$190</definedName>
    <definedName name="Z_B7E877F5_3116_4F32_9F79_5E1B1FFE1C0E_.wvu.PrintArea" localSheetId="0" hidden="1">'Overview of measures'!$A$1:$K$274</definedName>
    <definedName name="Z_B7E877F5_3116_4F32_9F79_5E1B1FFE1C0E_.wvu.PrintTitles" localSheetId="0" hidden="1">'Overview of measures'!$5:$7</definedName>
    <definedName name="Z_B7E877F5_3116_4F32_9F79_5E1B1FFE1C0E_.wvu.Rows" localSheetId="0" hidden="1">'Overview of measures'!$38:$43,'Overview of measures'!$46:$52,'Overview of measures'!$60:$65,'Overview of measures'!$69:$75,'Overview of measures'!$126:$132,'Overview of measures'!$143:$151,'Overview of measures'!$158:$161,'Overview of measures'!$188:$190,'Overview of measures'!$195:$203,'Overview of measures'!$216:$235,'Overview of measures'!$259:$261,'Overview of measures'!#REF!</definedName>
    <definedName name="Z_E55801BF_2B6D_4102_99E3_AFCCB902FB03_.wvu.PrintArea" localSheetId="0" hidden="1">'Overview of measures'!$A$1:$K$274</definedName>
    <definedName name="Z_E55801BF_2B6D_4102_99E3_AFCCB902FB03_.wvu.PrintTitles" localSheetId="0" hidden="1">'Overview of measures'!$5:$7</definedName>
    <definedName name="Z_E55801BF_2B6D_4102_99E3_AFCCB902FB03_.wvu.Rows" localSheetId="0" hidden="1">'Overview of measures'!$10:$23,'Overview of measures'!$27:$35,'Overview of measures'!$38:$43,'Overview of measures'!$55:$57,'Overview of measures'!$60:$65,'Overview of measures'!$69:$76,'Overview of measures'!$80:$83,'Overview of measures'!$88:$90,'Overview of measures'!$94:$100,'Overview of measures'!$103:$112,'Overview of measures'!$120:$123,'Overview of measures'!$126:$132,'Overview of measures'!$135:$139,'Overview of measures'!$143:$151,'Overview of measures'!#REF!,'Overview of measures'!$152:$155,'Overview of measures'!$158:$161,'Overview of measures'!$163:$165,'Overview of measures'!$167:$172,'Overview of measures'!$174:$177,'Overview of measures'!$180:$185,'Overview of measures'!$188:$190,'Overview of measures'!$195:$203,'Overview of measures'!$207:$212,'Overview of measures'!$216:$235,'Overview of measures'!$238:$243,'Overview of measures'!$246:$250,'Overview of measures'!$253:$256,'Overview of measures'!$259:$261,'Overview of measures'!#REF!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226" i="4" l="1"/>
  <c r="G177" i="4"/>
  <c r="J184" i="4"/>
  <c r="J183" i="4"/>
  <c r="J241" i="4"/>
  <c r="G101" i="4"/>
  <c r="J117" i="4"/>
  <c r="J116" i="4"/>
  <c r="J165" i="4" l="1"/>
  <c r="J164" i="4"/>
  <c r="J163" i="4"/>
  <c r="J100" i="4"/>
  <c r="J99" i="4"/>
  <c r="J98" i="4"/>
  <c r="J97" i="4"/>
  <c r="J96" i="4"/>
  <c r="J95" i="4"/>
  <c r="J94" i="4"/>
  <c r="J161" i="4" l="1"/>
  <c r="J91" i="4"/>
  <c r="E161" i="4"/>
  <c r="G58" i="4" l="1"/>
  <c r="J66" i="4" l="1"/>
  <c r="G25" i="4"/>
  <c r="G36" i="4"/>
  <c r="G53" i="4"/>
  <c r="G44" i="4"/>
  <c r="G67" i="4"/>
  <c r="G78" i="4"/>
  <c r="G86" i="4"/>
  <c r="F91" i="4"/>
  <c r="G91" i="4"/>
  <c r="F101" i="4"/>
  <c r="G118" i="4"/>
  <c r="G124" i="4"/>
  <c r="G133" i="4"/>
  <c r="G144" i="4"/>
  <c r="G152" i="4"/>
  <c r="G161" i="4"/>
  <c r="G166" i="4"/>
  <c r="G171" i="4"/>
  <c r="G185" i="4"/>
  <c r="F191" i="4"/>
  <c r="G191" i="4"/>
  <c r="G198" i="4"/>
  <c r="G204" i="4"/>
  <c r="G217" i="4"/>
  <c r="G226" i="4"/>
  <c r="G248" i="4"/>
  <c r="G255" i="4"/>
  <c r="F262" i="4"/>
  <c r="G262" i="4"/>
  <c r="G268" i="4"/>
  <c r="G8" i="4"/>
  <c r="J85" i="4" l="1"/>
  <c r="J84" i="4"/>
  <c r="J221" i="4"/>
  <c r="J257" i="4" l="1"/>
  <c r="J258" i="4"/>
  <c r="J259" i="4"/>
  <c r="J260" i="4"/>
  <c r="J261" i="4"/>
  <c r="J264" i="4"/>
  <c r="J265" i="4"/>
  <c r="J61" i="4"/>
  <c r="J60" i="4"/>
  <c r="J62" i="4"/>
  <c r="J63" i="4"/>
  <c r="J35" i="4"/>
  <c r="J34" i="4"/>
  <c r="J33" i="4"/>
  <c r="J32" i="4"/>
  <c r="J31" i="4"/>
  <c r="J30" i="4"/>
  <c r="J29" i="4"/>
  <c r="J28" i="4"/>
  <c r="J27" i="4"/>
  <c r="J73" i="4"/>
  <c r="J69" i="4"/>
  <c r="J255" i="4" l="1"/>
  <c r="J25" i="4"/>
  <c r="J173" i="4"/>
  <c r="J143" i="4"/>
  <c r="J142" i="4"/>
  <c r="J141" i="4"/>
  <c r="J140" i="4"/>
  <c r="J139" i="4"/>
  <c r="J138" i="4"/>
  <c r="J137" i="4"/>
  <c r="J136" i="4"/>
  <c r="J135" i="4"/>
  <c r="J126" i="4"/>
  <c r="J88" i="4"/>
  <c r="J38" i="4"/>
  <c r="J90" i="4"/>
  <c r="J89" i="4"/>
  <c r="J133" i="4" l="1"/>
  <c r="J86" i="4"/>
  <c r="J273" i="4"/>
  <c r="J272" i="4"/>
  <c r="J271" i="4"/>
  <c r="J270" i="4"/>
  <c r="J267" i="4"/>
  <c r="J266" i="4"/>
  <c r="J254" i="4"/>
  <c r="J253" i="4"/>
  <c r="J252" i="4"/>
  <c r="J251" i="4"/>
  <c r="J250" i="4"/>
  <c r="J247" i="4"/>
  <c r="J228" i="4"/>
  <c r="J229" i="4"/>
  <c r="J230" i="4"/>
  <c r="J231" i="4"/>
  <c r="J232" i="4"/>
  <c r="J233" i="4"/>
  <c r="J234" i="4"/>
  <c r="J235" i="4"/>
  <c r="J236" i="4"/>
  <c r="J237" i="4"/>
  <c r="J238" i="4"/>
  <c r="J239" i="4"/>
  <c r="J240" i="4"/>
  <c r="J242" i="4"/>
  <c r="J243" i="4"/>
  <c r="J244" i="4"/>
  <c r="J245" i="4"/>
  <c r="J246" i="4"/>
  <c r="J225" i="4"/>
  <c r="J224" i="4"/>
  <c r="J223" i="4"/>
  <c r="J222" i="4"/>
  <c r="J220" i="4"/>
  <c r="J219" i="4"/>
  <c r="J216" i="4"/>
  <c r="J215" i="4"/>
  <c r="J214" i="4"/>
  <c r="J213" i="4"/>
  <c r="J212" i="4"/>
  <c r="J211" i="4"/>
  <c r="J210" i="4"/>
  <c r="J209" i="4"/>
  <c r="J208" i="4"/>
  <c r="J207" i="4"/>
  <c r="J201" i="4"/>
  <c r="J202" i="4"/>
  <c r="J203" i="4"/>
  <c r="J200" i="4"/>
  <c r="J197" i="4"/>
  <c r="J196" i="4"/>
  <c r="J195" i="4"/>
  <c r="J194" i="4"/>
  <c r="J193" i="4"/>
  <c r="J190" i="4"/>
  <c r="J189" i="4"/>
  <c r="J188" i="4"/>
  <c r="J187" i="4"/>
  <c r="J182" i="4"/>
  <c r="J181" i="4"/>
  <c r="J180" i="4"/>
  <c r="J179" i="4"/>
  <c r="J176" i="4"/>
  <c r="J175" i="4"/>
  <c r="J174" i="4"/>
  <c r="J170" i="4"/>
  <c r="J169" i="4"/>
  <c r="J168" i="4"/>
  <c r="J160" i="4"/>
  <c r="J159" i="4"/>
  <c r="J158" i="4"/>
  <c r="J157" i="4"/>
  <c r="J156" i="4"/>
  <c r="J155" i="4"/>
  <c r="J154" i="4"/>
  <c r="J151" i="4"/>
  <c r="J150" i="4"/>
  <c r="J149" i="4"/>
  <c r="J148" i="4"/>
  <c r="J147" i="4"/>
  <c r="J146" i="4"/>
  <c r="J132" i="4"/>
  <c r="J131" i="4"/>
  <c r="J130" i="4"/>
  <c r="J129" i="4"/>
  <c r="J128" i="4"/>
  <c r="J127" i="4"/>
  <c r="J123" i="4"/>
  <c r="J122" i="4"/>
  <c r="J121" i="4"/>
  <c r="J120" i="4"/>
  <c r="J115" i="4"/>
  <c r="J114" i="4"/>
  <c r="J113" i="4"/>
  <c r="J112" i="4"/>
  <c r="J111" i="4"/>
  <c r="J110" i="4"/>
  <c r="J109" i="4"/>
  <c r="J108" i="4"/>
  <c r="J107" i="4"/>
  <c r="J106" i="4"/>
  <c r="J105" i="4"/>
  <c r="J104" i="4"/>
  <c r="J103" i="4"/>
  <c r="J83" i="4"/>
  <c r="J82" i="4"/>
  <c r="J81" i="4"/>
  <c r="J80" i="4"/>
  <c r="J77" i="4"/>
  <c r="J76" i="4"/>
  <c r="J75" i="4"/>
  <c r="J74" i="4"/>
  <c r="J72" i="4"/>
  <c r="J71" i="4"/>
  <c r="J70" i="4"/>
  <c r="J65" i="4"/>
  <c r="J64" i="4"/>
  <c r="J57" i="4"/>
  <c r="J56" i="4"/>
  <c r="J55" i="4"/>
  <c r="J52" i="4"/>
  <c r="J51" i="4"/>
  <c r="J50" i="4"/>
  <c r="J49" i="4"/>
  <c r="J48" i="4"/>
  <c r="J47" i="4"/>
  <c r="J46" i="4"/>
  <c r="J43" i="4"/>
  <c r="J42" i="4"/>
  <c r="J41" i="4"/>
  <c r="J40" i="4"/>
  <c r="J39" i="4"/>
  <c r="J11" i="4"/>
  <c r="J12" i="4"/>
  <c r="J13" i="4"/>
  <c r="J14" i="4"/>
  <c r="J15" i="4"/>
  <c r="J16" i="4"/>
  <c r="J17" i="4"/>
  <c r="J18" i="4"/>
  <c r="J19" i="4"/>
  <c r="J20" i="4"/>
  <c r="J21" i="4"/>
  <c r="J22" i="4"/>
  <c r="J23" i="4"/>
  <c r="J24" i="4"/>
  <c r="J10" i="4"/>
  <c r="J124" i="4" l="1"/>
  <c r="J101" i="4"/>
  <c r="J58" i="4"/>
  <c r="J144" i="4"/>
  <c r="J166" i="4"/>
  <c r="J262" i="4"/>
  <c r="J36" i="4"/>
  <c r="J171" i="4"/>
  <c r="J268" i="4"/>
  <c r="J78" i="4"/>
  <c r="J248" i="4"/>
  <c r="J177" i="4"/>
  <c r="J204" i="4"/>
  <c r="J44" i="4"/>
  <c r="J152" i="4"/>
  <c r="J185" i="4"/>
  <c r="J67" i="4"/>
  <c r="J8" i="4"/>
  <c r="J217" i="4"/>
  <c r="J198" i="4"/>
  <c r="J118" i="4"/>
  <c r="J53" i="4"/>
  <c r="J191" i="4"/>
</calcChain>
</file>

<file path=xl/sharedStrings.xml><?xml version="1.0" encoding="utf-8"?>
<sst xmlns="http://schemas.openxmlformats.org/spreadsheetml/2006/main" count="835" uniqueCount="590">
  <si>
    <t>in Europe (EU countries, Iceland, Liechtenstein and Norway)</t>
  </si>
  <si>
    <r>
      <t xml:space="preserve">Country
</t>
    </r>
    <r>
      <rPr>
        <sz val="11"/>
        <color rgb="FF0000FF"/>
        <rFont val="Calibri"/>
        <family val="2"/>
        <scheme val="minor"/>
      </rPr>
      <t>Decision-making authority</t>
    </r>
  </si>
  <si>
    <r>
      <t xml:space="preserve">CCoB
</t>
    </r>
    <r>
      <rPr>
        <sz val="11"/>
        <color theme="1"/>
        <rFont val="Calibri"/>
        <family val="2"/>
        <scheme val="minor"/>
      </rPr>
      <t>1)</t>
    </r>
  </si>
  <si>
    <r>
      <t xml:space="preserve">CCyB 
</t>
    </r>
    <r>
      <rPr>
        <sz val="11"/>
        <color theme="1"/>
        <rFont val="Calibri"/>
        <family val="2"/>
        <scheme val="minor"/>
      </rPr>
      <t>2)</t>
    </r>
  </si>
  <si>
    <t>The higher of</t>
  </si>
  <si>
    <t>G-SII buffer</t>
  </si>
  <si>
    <t xml:space="preserve">O-SII buffer </t>
  </si>
  <si>
    <t>Bank name</t>
  </si>
  <si>
    <t>CRD 129</t>
  </si>
  <si>
    <t>CRD 130</t>
  </si>
  <si>
    <t>CRD 131</t>
  </si>
  <si>
    <t>CRD 133</t>
  </si>
  <si>
    <t>Austria</t>
  </si>
  <si>
    <t>Finanzmarktaufsicht</t>
  </si>
  <si>
    <t xml:space="preserve"> </t>
  </si>
  <si>
    <t>Erste Group Bank AG</t>
  </si>
  <si>
    <t>RAIFFEISEN-HOLDING NIEDERÖSTERREICH-WIEN registrierte Genossenschaft mit beschränkter Haftung</t>
  </si>
  <si>
    <t>Raiffeisen Bank International AG</t>
  </si>
  <si>
    <t>Raiffeisenlandesbank Oberösterreich AG</t>
  </si>
  <si>
    <t>HYPO NOE Landesbank für Niederösterreich und Wien AG</t>
  </si>
  <si>
    <t>Hypo Vorarlberg Bank AG</t>
  </si>
  <si>
    <t>Hypo Tirol Bank AG</t>
  </si>
  <si>
    <t>Oberösterreichische Landesbank AG</t>
  </si>
  <si>
    <t>Raiffeisenlandesbank Niederösterreich-Wien</t>
  </si>
  <si>
    <t>Erste Bank der oesterreichischen Sparkassen AG</t>
  </si>
  <si>
    <t xml:space="preserve">Belgium </t>
  </si>
  <si>
    <t/>
  </si>
  <si>
    <t>National Bank of Belgium</t>
  </si>
  <si>
    <t>BNP Paribas Fortis SA</t>
  </si>
  <si>
    <t>Belfius Banque SA</t>
  </si>
  <si>
    <t>ING Belgium SA</t>
  </si>
  <si>
    <t>KBC Group NV</t>
  </si>
  <si>
    <t>The Bank of New York Mellon SA</t>
  </si>
  <si>
    <t xml:space="preserve">Bulgaria </t>
  </si>
  <si>
    <t>Bulgarian National Bank</t>
  </si>
  <si>
    <t>United Bulgarian Bank AD</t>
  </si>
  <si>
    <t>Eurobank Bulgaria AD</t>
  </si>
  <si>
    <t>First Investment Bank AD</t>
  </si>
  <si>
    <t>UniCredit Bulbank AD</t>
  </si>
  <si>
    <t xml:space="preserve">Croatia </t>
  </si>
  <si>
    <t>Hrvatska narodna banka</t>
  </si>
  <si>
    <t>Erste&amp;Steiermärkische Bank d.d. Rijeka</t>
  </si>
  <si>
    <t>Hrvatska poštanska banka d.d., Zagreb</t>
  </si>
  <si>
    <t>OTP banka Hrvatska d.d., Zagreb</t>
  </si>
  <si>
    <t>Privredna banka Zagreb d.d., Zagreb</t>
  </si>
  <si>
    <t>Raiffeisenbank Austria d.d., Zagreb</t>
  </si>
  <si>
    <t>Zagrebačka banka d.d., Zagreb</t>
  </si>
  <si>
    <t>Cyprus</t>
  </si>
  <si>
    <t>Central Bank of Cyprus</t>
  </si>
  <si>
    <t>Alpha Bank Cyprus Ltd</t>
  </si>
  <si>
    <t>Bank of Cyprus Public Company Ltd</t>
  </si>
  <si>
    <t>Czech Republic</t>
  </si>
  <si>
    <t>Česká národní banka</t>
  </si>
  <si>
    <t>Česká spořitelna, a.s.</t>
  </si>
  <si>
    <t>Československá obchodní banka, a.s.</t>
  </si>
  <si>
    <t>Komerční banka, a.s.</t>
  </si>
  <si>
    <t>Raiffeisenbank, a.s.</t>
  </si>
  <si>
    <t>UniCredit Bank Czech Republic and Slovakia, a.s.</t>
  </si>
  <si>
    <t>Denmark</t>
  </si>
  <si>
    <t>Minister for Industry, Business and Financial Affairs</t>
  </si>
  <si>
    <t>DLR Kredit A/S</t>
  </si>
  <si>
    <t>Jyske Bank A/S</t>
  </si>
  <si>
    <t>Nordea Kredit Realkreditaktieselskab   A/S</t>
  </si>
  <si>
    <t>Nykredit Realkredit A/S</t>
  </si>
  <si>
    <t>Sydbank A/S</t>
  </si>
  <si>
    <t>Spar Nord Bank A/S</t>
  </si>
  <si>
    <t>Estonia</t>
  </si>
  <si>
    <t>Eesti Pank</t>
  </si>
  <si>
    <t>AS SEB Pank</t>
  </si>
  <si>
    <t>Luminor Bank AS</t>
  </si>
  <si>
    <t>Swedbank AS</t>
  </si>
  <si>
    <t>AS LHV Pank</t>
  </si>
  <si>
    <t>Finland</t>
  </si>
  <si>
    <t>Finanssivalvonta/ Finansinspektionen</t>
  </si>
  <si>
    <t>Municipality Finance Plc</t>
  </si>
  <si>
    <t>Nordea Group</t>
  </si>
  <si>
    <t>OP Group</t>
  </si>
  <si>
    <t xml:space="preserve">France </t>
  </si>
  <si>
    <t>Autorité de Contrôle Prudentiel et de Résolution</t>
  </si>
  <si>
    <t>Haut Conseil de Stabilité Financière</t>
  </si>
  <si>
    <t>BNP Paribas</t>
  </si>
  <si>
    <t>Groupe BPCE</t>
  </si>
  <si>
    <t>Groupe Crédit Mutuel</t>
  </si>
  <si>
    <t>Groupe Crédit Agricole</t>
  </si>
  <si>
    <t>La Banque Postale</t>
  </si>
  <si>
    <t>Société Générale</t>
  </si>
  <si>
    <t>Germany</t>
  </si>
  <si>
    <t>Bundesanstalt für Finanzdienstleistungsaufsicht</t>
  </si>
  <si>
    <t>Bayerische Landesbank</t>
  </si>
  <si>
    <t>COMMERZBANK AG</t>
  </si>
  <si>
    <t>DZ BANK AG</t>
  </si>
  <si>
    <t>DekaBank Deutsche Girozentrale</t>
  </si>
  <si>
    <t>Deutsche Bank AG</t>
  </si>
  <si>
    <t>ING-DiBa AG</t>
  </si>
  <si>
    <t>Landesbank Baden-Württemberg</t>
  </si>
  <si>
    <t>Landesbank Hessen-Thüringen Girozentrale</t>
  </si>
  <si>
    <t>UniCredit Bank AG</t>
  </si>
  <si>
    <t>Greece</t>
  </si>
  <si>
    <t>Bank of Greece</t>
  </si>
  <si>
    <t>National Bank of Greece S.A.</t>
  </si>
  <si>
    <t>Hungary</t>
  </si>
  <si>
    <t>Magyar Nemzeti Bank</t>
  </si>
  <si>
    <t>CIB Bank Zrt</t>
  </si>
  <si>
    <t>Erste Bank Hungary Zrt</t>
  </si>
  <si>
    <t>Kereskedelmi és Hitelbank Zrt.</t>
  </si>
  <si>
    <t>OTP Bank Nyrt.</t>
  </si>
  <si>
    <t>Raiffeisen Bank Zrt</t>
  </si>
  <si>
    <t>UniCredit Bank Hungary Zrt</t>
  </si>
  <si>
    <t>Ireland</t>
  </si>
  <si>
    <t>Central Bank of Ireland</t>
  </si>
  <si>
    <t>Barclays Bank Ireland PLC</t>
  </si>
  <si>
    <t xml:space="preserve">Bank of Ireland Group PLC </t>
  </si>
  <si>
    <t>Iceland</t>
  </si>
  <si>
    <t>Central Bank of Iceland</t>
  </si>
  <si>
    <t>Arion Banki</t>
  </si>
  <si>
    <t>Islandsbanki</t>
  </si>
  <si>
    <t>Landsbankinn</t>
  </si>
  <si>
    <t>Kvika banki</t>
  </si>
  <si>
    <t>Sparisjodur Austurlands</t>
  </si>
  <si>
    <t>Sparisjodur Hofdhverfinga</t>
  </si>
  <si>
    <t>Sparisjodur Strandamanna</t>
  </si>
  <si>
    <t>Sparisjodur Sudur-Thingeyinga</t>
  </si>
  <si>
    <t>Italy</t>
  </si>
  <si>
    <t>Banca d'Italia</t>
  </si>
  <si>
    <t>Latvia</t>
  </si>
  <si>
    <t>AS SEB banka</t>
  </si>
  <si>
    <t>AS Citadele banka</t>
  </si>
  <si>
    <t>Liechtenstein</t>
  </si>
  <si>
    <t>Financial Market Authority</t>
  </si>
  <si>
    <t>Liechtensteinische Landesbank AG</t>
  </si>
  <si>
    <t>VP Bank AG</t>
  </si>
  <si>
    <t>Lithuania</t>
  </si>
  <si>
    <t>Lietuvos bankas</t>
  </si>
  <si>
    <t>AB SEB bankas</t>
  </si>
  <si>
    <t>AB Šiaulių bankas</t>
  </si>
  <si>
    <t>Swedbank AB</t>
  </si>
  <si>
    <t>Luxembourg</t>
  </si>
  <si>
    <t>Commission de Surveillance du Secteur Financier</t>
  </si>
  <si>
    <t>BGL BNP Paribas S.A.</t>
  </si>
  <si>
    <t>Banque Internationale à Luxembourg S.A.</t>
  </si>
  <si>
    <t>Banque et Caisse d’Epargne de l’Etat Luxembourg</t>
  </si>
  <si>
    <t>Clearstream Banking S.A.</t>
  </si>
  <si>
    <t>Malta</t>
  </si>
  <si>
    <t>Bank Centrali ta' Malta</t>
  </si>
  <si>
    <t>Bank of Valletta plc</t>
  </si>
  <si>
    <t>HSBC Bank Malta p.l.c.</t>
  </si>
  <si>
    <t>APS Bank plc</t>
  </si>
  <si>
    <t>Netherlands</t>
  </si>
  <si>
    <t>De Nederlandsche Bank</t>
  </si>
  <si>
    <t>ABN AMRO Bank N.V.</t>
  </si>
  <si>
    <t>Bank Nederlandse Gemeenten</t>
  </si>
  <si>
    <t>Coöperatieve Rabobank U.A.</t>
  </si>
  <si>
    <t>ING Bank N.V.</t>
  </si>
  <si>
    <t>De Volksbank N.V.</t>
  </si>
  <si>
    <t>Norway</t>
  </si>
  <si>
    <t>Norwegian Ministry of Finance</t>
  </si>
  <si>
    <t>DNB ASA</t>
  </si>
  <si>
    <t>Kommunalbanken AS</t>
  </si>
  <si>
    <t>Poland</t>
  </si>
  <si>
    <t>Minister Finansów</t>
  </si>
  <si>
    <t>Komisja Nadzoru Finansowego</t>
  </si>
  <si>
    <t>BNP Paribas Bank Polska SA</t>
  </si>
  <si>
    <t>Bank Handlowy w Warszawie SA</t>
  </si>
  <si>
    <t>Bank Polska Kasa Opieki SA</t>
  </si>
  <si>
    <t>Bank Polskiej Spółdzielczości SA</t>
  </si>
  <si>
    <t>Santander Bank Polska SA</t>
  </si>
  <si>
    <t>ING Bank Ślaski SA</t>
  </si>
  <si>
    <t>mBank SA</t>
  </si>
  <si>
    <t>Powszechna Kasa Oszczedności Bank Polski SA</t>
  </si>
  <si>
    <t>SGB-Bank SA</t>
  </si>
  <si>
    <t>Portugal</t>
  </si>
  <si>
    <t>Banco de Portugal</t>
  </si>
  <si>
    <t>Banco BPI</t>
  </si>
  <si>
    <t>Banco Comercial Português</t>
  </si>
  <si>
    <t>Santander Totta SGPS</t>
  </si>
  <si>
    <t>Caixa Economica Montepio Geral</t>
  </si>
  <si>
    <t>Caixa Geral de Depósitos</t>
  </si>
  <si>
    <t>LSF Nani Investments S.à.r.l.</t>
  </si>
  <si>
    <t>Romania</t>
  </si>
  <si>
    <t>Banca Naţională a României</t>
  </si>
  <si>
    <t>Banca Comercială Română S.A.</t>
  </si>
  <si>
    <t>Banca Transilvania S.A.</t>
  </si>
  <si>
    <t>BRD - Groupe Societe Generale S.A.</t>
  </si>
  <si>
    <t>CEC Bank S.A.</t>
  </si>
  <si>
    <t>Garanti Bank S.A.</t>
  </si>
  <si>
    <t>Raiffeisen Bank S.A.</t>
  </si>
  <si>
    <t>UniCredit Bank S.A.</t>
  </si>
  <si>
    <t>Credit Europe Bank S.A.</t>
  </si>
  <si>
    <t>Banca Comercială Intesa SanPaolo Romania S.A.</t>
  </si>
  <si>
    <t>Libra Internet Bank S.A.</t>
  </si>
  <si>
    <t>Vista Bank Romania S.A.</t>
  </si>
  <si>
    <t>Patria Bank S.A.</t>
  </si>
  <si>
    <t>OTP Bank Romania S.A.</t>
  </si>
  <si>
    <t>First Bank S.A.</t>
  </si>
  <si>
    <t>Porsche Bank S.A.</t>
  </si>
  <si>
    <t>ProCredit Bank S.A.</t>
  </si>
  <si>
    <t>Banca Română de Credite şi Investiţii S.A.</t>
  </si>
  <si>
    <t>Slovakia</t>
  </si>
  <si>
    <t>Národná banka Slovenska</t>
  </si>
  <si>
    <t>Slovenská sporiteľňa, a.s.</t>
  </si>
  <si>
    <t>Tatra banka, a.s.</t>
  </si>
  <si>
    <t>Všeobecná úverová banka, a.s.</t>
  </si>
  <si>
    <t>Československá obchodná banka, a.s.</t>
  </si>
  <si>
    <t>Slovenia</t>
  </si>
  <si>
    <t>Banka Slovenije</t>
  </si>
  <si>
    <t>Nova Ljubljanska Banka d.d.</t>
  </si>
  <si>
    <t>SID - Slovenska izvozna in razvojna banka d.d.</t>
  </si>
  <si>
    <t xml:space="preserve">Intesa Sanpaolo  </t>
  </si>
  <si>
    <t>UniCredit Banka Slovenija d.d.</t>
  </si>
  <si>
    <t>Spain</t>
  </si>
  <si>
    <t>Banco de España</t>
  </si>
  <si>
    <t>Banco Bilbao Vizcaya Argentaria, S.A.</t>
  </si>
  <si>
    <t>Banco de Sabadell, S.A.</t>
  </si>
  <si>
    <t>Banco Santander, S.A.</t>
  </si>
  <si>
    <t>Sweden</t>
  </si>
  <si>
    <t>3 banks: 
3%</t>
  </si>
  <si>
    <t>Finansinspektionen</t>
  </si>
  <si>
    <t>Skandinaviska Enskilda Banken AB (SEB)</t>
  </si>
  <si>
    <t>Svenska Handelsbanken AB</t>
  </si>
  <si>
    <t>Footnotes</t>
  </si>
  <si>
    <t>All banks: 
1.5%</t>
  </si>
  <si>
    <t>Bank Millennium SA</t>
  </si>
  <si>
    <t>All banks: 3%</t>
  </si>
  <si>
    <t>Addiko Bank d.d., Zagreb</t>
  </si>
  <si>
    <t>Allied Irish Bank Group plc</t>
  </si>
  <si>
    <t>MDB Group Ltd</t>
  </si>
  <si>
    <t>Nordea Hypotek AB</t>
  </si>
  <si>
    <t>Bank of America Europe DAC</t>
  </si>
  <si>
    <t>Société Générale Luxembourg</t>
  </si>
  <si>
    <t>Techventures Bank S.A.</t>
  </si>
  <si>
    <t>Nordea Eiendomskreditt AS</t>
  </si>
  <si>
    <t>Banca Cooperatista Creditcoop</t>
  </si>
  <si>
    <t>Volksbanken Wien AG (for the consolidated situation of the Volksbanken-Verbund only)</t>
  </si>
  <si>
    <r>
      <t xml:space="preserve">BAWAG P.S.K. Bank für Arbeit und Wirtschaft und Österreichische Postsparkasse Aktiengesellschaft </t>
    </r>
    <r>
      <rPr>
        <sz val="11"/>
        <color theme="1" tint="0.34998626667073579"/>
        <rFont val="Calibri"/>
        <family val="2"/>
        <scheme val="minor"/>
      </rPr>
      <t>5)</t>
    </r>
  </si>
  <si>
    <t>DSK Bank AD</t>
  </si>
  <si>
    <t>Goldman Sachs Bank Europe SE</t>
  </si>
  <si>
    <t>Alpha Services &amp; Holdings S.A.,</t>
  </si>
  <si>
    <t>Eurobank Ergasias Services &amp; Holdings S.A.</t>
  </si>
  <si>
    <t>Piraeus Financial Holdings S.A.</t>
  </si>
  <si>
    <t>Gruppo Intesa Sanpaolo</t>
  </si>
  <si>
    <t>UniCredit Group</t>
  </si>
  <si>
    <t>Gruppo Banco BPM</t>
  </si>
  <si>
    <t xml:space="preserve">CaixaBank, S.A. </t>
  </si>
  <si>
    <t>A/S Arbejdernes Landsbank</t>
  </si>
  <si>
    <t>Prima banka Slovensko, a.s.</t>
  </si>
  <si>
    <t>HSBC CE</t>
  </si>
  <si>
    <t>Description of measures</t>
  </si>
  <si>
    <t>Legal basis</t>
  </si>
  <si>
    <t>Date of application</t>
  </si>
  <si>
    <t xml:space="preserve">Details </t>
  </si>
  <si>
    <t>CRR Article 458</t>
  </si>
  <si>
    <t>Investeringsmaatschappij Argenta NV</t>
  </si>
  <si>
    <t>indó sparisjóður</t>
  </si>
  <si>
    <t>Addiko Bank AG</t>
  </si>
  <si>
    <t>Revolut Bank UAB</t>
  </si>
  <si>
    <t>Swedbank Baltics AS</t>
  </si>
  <si>
    <t>Caixa Central - Caixa Central de Crédito Agrícola Mútuo</t>
  </si>
  <si>
    <t>Morgan Stanley Europe Holding SE</t>
  </si>
  <si>
    <t>Crelan SA</t>
  </si>
  <si>
    <t>J.P. Morgan SE</t>
  </si>
  <si>
    <t xml:space="preserve">UniCredit Bank Austria AG </t>
  </si>
  <si>
    <t>PPF Financial Holdings a.s.</t>
  </si>
  <si>
    <t>The Finansdepartementet decided to extend the existing risk weight floor targeting asset bubbles in the corporate real estate sector pursuant to Article 458 (10) of the CRR. A floor of 35% risk weights for Norwegian corporate real estate exposures has been set. Should the exposure-weighted average risk weight be lower than the floor, the total risk-weighted assets should be increased correspondingly.</t>
  </si>
  <si>
    <t>Latvijas Banka</t>
  </si>
  <si>
    <t>Saxo Bank A/S</t>
  </si>
  <si>
    <t>Exim Banca Românească S.A.</t>
  </si>
  <si>
    <t xml:space="preserve">529900ICA8XQYGIKR372 </t>
  </si>
  <si>
    <t>PQOH26KWDF7CG10L6792</t>
  </si>
  <si>
    <t xml:space="preserve">529900SXEWPJ1MRRX537 </t>
  </si>
  <si>
    <t xml:space="preserve">9ZHRYM6F437SQJ6OUG95 </t>
  </si>
  <si>
    <t xml:space="preserve">I6SS27Q1Q3385V753S50 </t>
  </si>
  <si>
    <t>D1HEB8VEU6D9M8ZUXG17</t>
  </si>
  <si>
    <t xml:space="preserve">5493007BWYDPQZLZ0Y27 </t>
  </si>
  <si>
    <t xml:space="preserve">NS54DT27LJMDYN1YFP35 </t>
  </si>
  <si>
    <t>0W5QHUNYV4W7GJO62R27</t>
  </si>
  <si>
    <t xml:space="preserve">529900BI5KIGX6YLX375 </t>
  </si>
  <si>
    <t xml:space="preserve">529900GPOO9ISPD1EE83 </t>
  </si>
  <si>
    <t xml:space="preserve">549300HUKIA1IZQHFZ83 </t>
  </si>
  <si>
    <t>529900UKZBMDBDZIXD62</t>
  </si>
  <si>
    <t>529900D4CD6DIB3CI904</t>
  </si>
  <si>
    <t xml:space="preserve">LEI code </t>
  </si>
  <si>
    <t>549300DYPOFMXOR7XM56</t>
  </si>
  <si>
    <t>5493008QOCP58OLEN998</t>
  </si>
  <si>
    <t>KGCEPHLVVKVRZYO1T647</t>
  </si>
  <si>
    <t>A5GWLFH3KM7YV2SFQL84</t>
  </si>
  <si>
    <t>549300IQZVZ949N37S44</t>
  </si>
  <si>
    <t>JLS56RAMYQZECFUF2G44</t>
  </si>
  <si>
    <t>213800X3Q9LSAKRUWY91</t>
  </si>
  <si>
    <t>MMYX0N4ZEZ13Z4XCG897</t>
  </si>
  <si>
    <t>5299002142DS5ONT5540</t>
  </si>
  <si>
    <t>5299000PCY1EP8QJFV48</t>
  </si>
  <si>
    <t>549300IRGNL8Q3O8Y413</t>
  </si>
  <si>
    <t>529900GEH0DAUTAXUA94</t>
  </si>
  <si>
    <t>549300UY81ESCZJ0GR95</t>
  </si>
  <si>
    <t>549300Z7V2WOFIMUEK50</t>
  </si>
  <si>
    <t>549300A2F46GR0UOM390</t>
  </si>
  <si>
    <t>529900D5G4V6THXC5P79</t>
  </si>
  <si>
    <t>RG3IZJKPYQ4H6IQPIC08</t>
  </si>
  <si>
    <t>5299005UJX6K7BQKV086</t>
  </si>
  <si>
    <t>549300ZHFZ4CSK7VS460</t>
  </si>
  <si>
    <t>529900I1UZV70CZRAU55</t>
  </si>
  <si>
    <t>PRNXTNXHBI0TSY1V8P17</t>
  </si>
  <si>
    <t>529900VS0F7BA91P4I60</t>
  </si>
  <si>
    <t>PQ0RAP85KK9Z75ONZW93</t>
  </si>
  <si>
    <t>CXUHEGU3MADZ2CEV7C11</t>
  </si>
  <si>
    <t>549300ND1MQ8SNNYMJ22</t>
  </si>
  <si>
    <t>213800JD2L89GGG7LF07</t>
  </si>
  <si>
    <t>549300PHQZ4HL15HH975</t>
  </si>
  <si>
    <t>529900GJOSVHI055QR67</t>
  </si>
  <si>
    <t>529900HEKOENJHPNN480</t>
  </si>
  <si>
    <t>529900ODI3047E2LIV03</t>
  </si>
  <si>
    <t>7437003B5WFBOIEFY714</t>
  </si>
  <si>
    <t>R0MUWSFPU8MPRO8K5P83</t>
  </si>
  <si>
    <t>FR9695005MSX1OYEMGDF</t>
  </si>
  <si>
    <t>9695000CG7B84NLR5984</t>
  </si>
  <si>
    <t>FR969500TJ5KRTCJQWXH</t>
  </si>
  <si>
    <t>F0HUI1NY1AZMJMD8LP67</t>
  </si>
  <si>
    <t>96950066U5XAAIRCPA78</t>
  </si>
  <si>
    <t>O2RNE8IBXP4R0TD8PU41</t>
  </si>
  <si>
    <t xml:space="preserve">VDYMYTQGZZ6DU0912C88 </t>
  </si>
  <si>
    <t>851WYGNLUQLFZBSYGB56</t>
  </si>
  <si>
    <t xml:space="preserve">529900HNOAA1KXQJUQ27 </t>
  </si>
  <si>
    <t xml:space="preserve">0W2PZJM8XOY22M4GG883 </t>
  </si>
  <si>
    <t>7LTWFZYICNSX8D621K86</t>
  </si>
  <si>
    <t>8IBZUGJ7JPLH368JE346</t>
  </si>
  <si>
    <t>3KXUNHVVQFIJN6RHLO76</t>
  </si>
  <si>
    <t xml:space="preserve">B81CK4ESI35472RHJ606 </t>
  </si>
  <si>
    <t xml:space="preserve">DIZES5CFO5K3I5R58746 </t>
  </si>
  <si>
    <t>2ZCNRR8UK83OBTEK2170</t>
  </si>
  <si>
    <t xml:space="preserve">549300C9KPZR0VZ16R05 </t>
  </si>
  <si>
    <t xml:space="preserve">549300ZK53CNGEEI6A29 </t>
  </si>
  <si>
    <t>5299009N55YRQC69CN08</t>
  </si>
  <si>
    <t>JEUVK5RWVJEN8W0C9M24</t>
  </si>
  <si>
    <t>5UMCZOEYKCVFAW8ZLO05</t>
  </si>
  <si>
    <t>M6AD1Y1KW32H8THQ6F76</t>
  </si>
  <si>
    <t>635400AKJBGNS5WNQL34</t>
  </si>
  <si>
    <t>2G5BKIC2CB69PRJH1W31</t>
  </si>
  <si>
    <t>635400C8EK6DRI12LJ39</t>
  </si>
  <si>
    <t>EQYXK86SF381Q21S3020</t>
  </si>
  <si>
    <t xml:space="preserve">2W8N8UU78PMDQKZENC08 </t>
  </si>
  <si>
    <t>549300TRUWO2CD2G5692</t>
  </si>
  <si>
    <t xml:space="preserve">815600E4E6DCD2D25E30 </t>
  </si>
  <si>
    <t>549300YW95G1VBBGGV07</t>
  </si>
  <si>
    <t>2138009Y59EAR7H1UO97</t>
  </si>
  <si>
    <t>9845006C7B5CC707X660</t>
  </si>
  <si>
    <t>549300SBPFE9JX7N8J82</t>
  </si>
  <si>
    <t>549300TK038P6EV4YU51</t>
  </si>
  <si>
    <t>485100NUOK3CEDCUTW40</t>
  </si>
  <si>
    <t>549300GH3DFCXVNBHE59</t>
  </si>
  <si>
    <t>UAIAINAJ28P30E5GWE37</t>
  </si>
  <si>
    <t>9CZ7TVMR36CYD5TZBS50</t>
  </si>
  <si>
    <t>R7CQUF1DQM73HUTV1078</t>
  </si>
  <si>
    <t>549300OL514RA0SXJJ44</t>
  </si>
  <si>
    <t>TPS0Q8GFSZF45ZZFL873</t>
  </si>
  <si>
    <t>529900RWC8ZYB066JF16</t>
  </si>
  <si>
    <t>549300X34UUBDEUL1Z91</t>
  </si>
  <si>
    <t>213800A1O379I6DMCU10</t>
  </si>
  <si>
    <t>213800TC9PZRBHMJW403</t>
  </si>
  <si>
    <t>BFXS5XCH7N0Y05NIXW11</t>
  </si>
  <si>
    <t>529900GGYMNGRQTDOO93</t>
  </si>
  <si>
    <t>DG3RU1DBUFHT4ZF9WN62</t>
  </si>
  <si>
    <t>3TK20IVIUJ8J3ZU0QE75</t>
  </si>
  <si>
    <t>724500A1FNICHSDF2I11</t>
  </si>
  <si>
    <t>3DM5DPGI3W6OU6GJ4N92</t>
  </si>
  <si>
    <t xml:space="preserve">JU1U6S0DG9YLT7N8ZV32 </t>
  </si>
  <si>
    <t>5493005RLLC1P7VSVC58</t>
  </si>
  <si>
    <t xml:space="preserve">2138004FIUXU3B2MR537 </t>
  </si>
  <si>
    <t xml:space="preserve">TO822O0VT80V06K0FH57 </t>
  </si>
  <si>
    <t>529900H2MBEC07BLTB26</t>
  </si>
  <si>
    <t>222100K6QL2V4MLHWQ08</t>
  </si>
  <si>
    <t>315700K45LRKNGMUIW 27</t>
  </si>
  <si>
    <t xml:space="preserve">549300S2T3FWVVXWJI 89 </t>
  </si>
  <si>
    <t>3157002JBFAI478MD587</t>
  </si>
  <si>
    <t xml:space="preserve">549300JB1P61FUTPEZ7 5 </t>
  </si>
  <si>
    <t>52990096Q5LMCH1WU4 62</t>
  </si>
  <si>
    <t>549300J0GSZ83GTKBZ89</t>
  </si>
  <si>
    <t>5493001BABFV7P27OW30</t>
  </si>
  <si>
    <t>549300BZ3GKOJ13V6F87</t>
  </si>
  <si>
    <t>549300ECJDDLOVWWL932</t>
  </si>
  <si>
    <t>549300O2UN9JLME31F08</t>
  </si>
  <si>
    <t>K8MS7FD7N5Z2WQ51AZ71</t>
  </si>
  <si>
    <t xml:space="preserve">SI5RG2M0WQQLZCXKRM20 </t>
  </si>
  <si>
    <t>5493006QMFDDMYWIAM13</t>
  </si>
  <si>
    <t>7CUNS533WID6K7DGFI87</t>
  </si>
  <si>
    <t>9KOGW2C2FCIOJQ7FF485</t>
  </si>
  <si>
    <t>Q5BP2UEQ48R75BOTCB92</t>
  </si>
  <si>
    <t>IYKCAVNFR8QGF00HV840</t>
  </si>
  <si>
    <t>31570014BNQ1Q99CNQ35</t>
  </si>
  <si>
    <t>KR6LSKV3BTSJRD41IF75</t>
  </si>
  <si>
    <t>Danske Bank A/S</t>
  </si>
  <si>
    <t>549300D6BJ7XOO03RR69</t>
  </si>
  <si>
    <t>MAES062Z21O4RZ2U7M96</t>
  </si>
  <si>
    <t>529900PR2ELW8QI1B775</t>
  </si>
  <si>
    <t>3M5E1GQGKL17HI6CPN30</t>
  </si>
  <si>
    <t>52990080NNXXLC14OC65</t>
  </si>
  <si>
    <t>LIU16F6VZJSD6UKHD557</t>
  </si>
  <si>
    <t>GP5DT10VX1QRQUKVBK64</t>
  </si>
  <si>
    <t>549300DHT635Q5P8J715</t>
  </si>
  <si>
    <t>549300TL5406IC1XKD09</t>
  </si>
  <si>
    <t>549300MSY5NIVC0BME80</t>
  </si>
  <si>
    <t>549300XWJHRKLHU2PS28</t>
  </si>
  <si>
    <t>KFUXYFTU2LHQFQZDQG45</t>
  </si>
  <si>
    <t>3H0Q3U74FVFED2SHZT16</t>
  </si>
  <si>
    <t>529900W3MOO00A18X956</t>
  </si>
  <si>
    <t>5493001U1K6M7JOL5W45</t>
  </si>
  <si>
    <t>Y28RT6GGYJ696PMW8T44</t>
  </si>
  <si>
    <t>MBH Bank</t>
  </si>
  <si>
    <t>RIL4VBPDB0M7Z3KXSF19</t>
  </si>
  <si>
    <t>549300PZMFIQR79Q0T97</t>
  </si>
  <si>
    <t>549300TLZPT6JELDWM92</t>
  </si>
  <si>
    <t>254900WR3I1Z9NPC7D84</t>
  </si>
  <si>
    <t>549300JPBA4VMG3A6682</t>
  </si>
  <si>
    <t>967600ZISRIPDC9ERJ93</t>
  </si>
  <si>
    <t>254900H6IYQMB9RAU056</t>
  </si>
  <si>
    <t>9676003QL0SA69DLD253</t>
  </si>
  <si>
    <t>967600OER0PGHRKQTB65</t>
  </si>
  <si>
    <t>529900OE1FOAM50XLP72</t>
  </si>
  <si>
    <t>5493009EIBTCB1X12G89</t>
  </si>
  <si>
    <t>MI3TLH1I0D58ORE24Q14</t>
  </si>
  <si>
    <t>LGT Bank AG (LGT Group)</t>
  </si>
  <si>
    <t>549300GKFG0RYRRQ1414</t>
  </si>
  <si>
    <t>I7ETN0QQO2AHZZGHJ389</t>
  </si>
  <si>
    <t>549300TTWFTM3HRP0618</t>
  </si>
  <si>
    <t>NMH2KF074RKAGTH4CM63</t>
  </si>
  <si>
    <t>XLEZHWWOI4HFQDGL4793</t>
  </si>
  <si>
    <t>259400DZXF7UJKK2AY35</t>
  </si>
  <si>
    <t>BB3BGO3LCED63R8R9R41</t>
  </si>
  <si>
    <t>259400LGXW3K0GDAG361</t>
  </si>
  <si>
    <t>259400YLRTOBISHBVX41</t>
  </si>
  <si>
    <t>P4GTT6GF1W40CVIMFR43</t>
  </si>
  <si>
    <t>259400P9KF07OP2K5P83</t>
  </si>
  <si>
    <t>259400OFDZ9KPZEO8K78</t>
  </si>
  <si>
    <t>549300ORLU6LN5YD8X90</t>
  </si>
  <si>
    <t>549300RG3H390KEL8896</t>
  </si>
  <si>
    <t>5493008QRHH0XCLJ4238</t>
  </si>
  <si>
    <t>2138008AVF4W7FMW8W87</t>
  </si>
  <si>
    <t>549300UZRCTIM0HREY46</t>
  </si>
  <si>
    <t>549300RFKNCOX56F8591</t>
  </si>
  <si>
    <t>5493003BDYD5VPGUQS04</t>
  </si>
  <si>
    <t>529900HO7D9PZWCL4924</t>
  </si>
  <si>
    <t>549300Y0HU846VCZER04</t>
  </si>
  <si>
    <t>635400F6HLXKXNJJX605</t>
  </si>
  <si>
    <t>549300CGLRBLXD8PLZ18</t>
  </si>
  <si>
    <t>315700WKDD4ZSRL7HW38</t>
  </si>
  <si>
    <t>54930017QGBKEZSPKH30</t>
  </si>
  <si>
    <t>54930034L83M3E7JWI25</t>
  </si>
  <si>
    <t>5299003TM0P7W8DNUF61</t>
  </si>
  <si>
    <t>549300UH7FDPRNBABQ46</t>
  </si>
  <si>
    <t>529900XIGDAMPGRLP324</t>
  </si>
  <si>
    <t>5299006OMGUYDLEXQ337</t>
  </si>
  <si>
    <t>315700BEHT3NJAG8RX82</t>
  </si>
  <si>
    <t>3157006K4C7PJT790450</t>
  </si>
  <si>
    <t>5493000K2HPWIF6MFO29</t>
  </si>
  <si>
    <t>F3JS33DEI6XQ4ZBPTN86</t>
  </si>
  <si>
    <t>NHBDILHZTYCNBV5UYZ31</t>
  </si>
  <si>
    <t>M312WZV08Y7LYUC71685</t>
  </si>
  <si>
    <t>549300Q3OIWRHQUQM052</t>
  </si>
  <si>
    <t xml:space="preserve">CRR Article 124(2) </t>
  </si>
  <si>
    <t>UI802FYJ52XDB7N4KN18</t>
  </si>
  <si>
    <t>Gruppo bancario Banca Nazionale del Lavoro</t>
  </si>
  <si>
    <t>NNVPP80YIZGEY2314M97</t>
  </si>
  <si>
    <t>Gruppo bancario cooperativo ICCREA</t>
  </si>
  <si>
    <t>PSNL19R2RXX5U3QWHI44</t>
  </si>
  <si>
    <t>Gruppo bancario Mediobanca</t>
  </si>
  <si>
    <t>N747OI7JINV7RUUH6190</t>
  </si>
  <si>
    <t>Gruppo BPER Banca</t>
  </si>
  <si>
    <t>13 banks: 
0.5%-1%</t>
  </si>
  <si>
    <t>Kreditanstalt für Wiederaufbau</t>
  </si>
  <si>
    <t>NRW.BANK</t>
  </si>
  <si>
    <t>549300GDPG70E3MBBU98</t>
  </si>
  <si>
    <t>52990002O5KK6XOGJ020</t>
  </si>
  <si>
    <t>Steiermärkische Bank und Sparkassen AG</t>
  </si>
  <si>
    <t>549300DVPJYGNF2P7B03</t>
  </si>
  <si>
    <t>Citibank  Europe PLC</t>
  </si>
  <si>
    <t xml:space="preserve">N1FBEDJ5J41VKZLO2475 </t>
  </si>
  <si>
    <t xml:space="preserve">Permanent TSB Group Holdings plc </t>
  </si>
  <si>
    <t>635400DTNHVYGZODKQ93</t>
  </si>
  <si>
    <t>All banks:
1%</t>
  </si>
  <si>
    <t>All banks:
4.5%</t>
  </si>
  <si>
    <r>
      <t xml:space="preserve">Combined buffer requirement
</t>
    </r>
    <r>
      <rPr>
        <sz val="11"/>
        <rFont val="Calibri"/>
        <family val="2"/>
        <scheme val="minor"/>
      </rPr>
      <t>4)</t>
    </r>
  </si>
  <si>
    <t>``</t>
  </si>
  <si>
    <t>Finansinspektionen has decided that a credit institution-specific minimum level of 25% average risk weight for corporate exposures secured by residential properties and of 35% for corporate exposures secured by commercial properties is applicable to credit institutions that have adopted the Internal Ratings Based Approach.</t>
  </si>
  <si>
    <t xml:space="preserve">The Norwegian Ministry of Finance adjusted the risk weights for exposures secured by mortgages on commercial immovable properties for banks using the standardised approach, by exempting exposures secured by agricultural immovable property, which is not considered residential immovable property (agricultural CRE exposures), from the measure. For this subset of exposures, the previously set higher risk weight will be reduced to the risk weight set out in article 126(1) CRR, hence 50 %. </t>
  </si>
  <si>
    <t>Finansinspektionen has decided to extend the existing risk weight floor for Swedish mortgage exposures. The credit institution-specific minimum level of 25% for the average risk weight on Swedish mortgages is applicable to credit institutions that have adopted the Internal Ratings Based Approach.</t>
  </si>
  <si>
    <r>
      <t xml:space="preserve">Additional Information
</t>
    </r>
    <r>
      <rPr>
        <sz val="11"/>
        <color theme="1"/>
        <rFont val="Calibri"/>
        <family val="2"/>
        <scheme val="minor"/>
      </rPr>
      <t>5)</t>
    </r>
  </si>
  <si>
    <r>
      <t xml:space="preserve">(sectoral) SyRB
</t>
    </r>
    <r>
      <rPr>
        <sz val="11"/>
        <color theme="1"/>
        <rFont val="Calibri"/>
        <family val="2"/>
        <scheme val="minor"/>
      </rPr>
      <t>3)</t>
    </r>
  </si>
  <si>
    <t>1.5% (s)</t>
  </si>
  <si>
    <t>All banks:
1.5% (s)</t>
  </si>
  <si>
    <t>All banks:
2% (s)</t>
  </si>
  <si>
    <t>2% (s)</t>
  </si>
  <si>
    <t>The SyRB applies to all exposures (located in Member State setting the buffer, other Member States, and third countries).</t>
  </si>
  <si>
    <t>The SyRB applies to all exposures located in the Member States</t>
  </si>
  <si>
    <t>7% (s)</t>
  </si>
  <si>
    <t>6% (s)</t>
  </si>
  <si>
    <t>Vdk bank</t>
  </si>
  <si>
    <t xml:space="preserve">54930060Q00W1SRIUI57 </t>
  </si>
  <si>
    <t>All banks:
1% (s)</t>
  </si>
  <si>
    <t>1% (s)</t>
  </si>
  <si>
    <t xml:space="preserve"> The SyRB (1%) applies to all institutions authorised in the member state for their retail exposures to natural persons secured by residential property and exposures to legal persons secured by commercial immovable property.</t>
  </si>
  <si>
    <t>All banks:
0% - 2%</t>
  </si>
  <si>
    <t>All banks
7%</t>
  </si>
  <si>
    <t>Croatia</t>
  </si>
  <si>
    <t>CRR Article 124</t>
  </si>
  <si>
    <t>Croatian National Bank</t>
  </si>
  <si>
    <t>31570010000000004460</t>
  </si>
  <si>
    <t xml:space="preserve">All Norwegian banks are subject to a 4.5% Systemic Risk Buffer (SyRB) rate on Norwegian exposures. </t>
  </si>
  <si>
    <t>Nå kan landbruket få rimeligere lån - regjeringen.no</t>
  </si>
  <si>
    <t>4% (s)</t>
  </si>
  <si>
    <t xml:space="preserve">OTP banka d.d </t>
  </si>
  <si>
    <t>0.5% (s)</t>
  </si>
  <si>
    <t>Croatian National Bank has reviewed the discretions granted by Article 124 of the CRR regarding establishing stricter criteria for exposures secured by mortgages on residential properties, and applying a higher risk weight (100%) for exposures secured by mortgages on commercial properties due to implementation of Regulation (EU) 2024/1623 of the European Parliament and of the Council of 31 May 2024 amending Regulation (EU) No 575/2013 as regards requirements for credit risk, credit valuation adjustment risk, operational risk, market risk and the output floor.  As a result, it has dropped 2 out of 4 stricter criteria for residential real estate due to updated definition of "residential property" and revoked the application of the higher risk weight requirement for commercial real estate.</t>
  </si>
  <si>
    <t xml:space="preserve"> DNB applies a risk weight floor measure on the mortgage loan portfolios of IRB banks. For each exposure, a 12% risk weight is assigned  to the portion of the loan not exceeding 55% of the collateral’s market value, and a 45% risk weight is assigned to the remaining portion of the loan. On 1 December 2024 DNB has decided to extend the measure for two years. This extension option is provided for in Article 458 of the Capital Requirements Regulation. </t>
  </si>
  <si>
    <t xml:space="preserve">O-SII fully loaded by 01.01.2026 at a 1.00% rate. </t>
  </si>
  <si>
    <t>Bigbank AS</t>
  </si>
  <si>
    <t>5493007SWCCN9S3J2748</t>
  </si>
  <si>
    <t>Coop Pank AS</t>
  </si>
  <si>
    <t>549300EHNXQVOI120S55</t>
  </si>
  <si>
    <t>4 banks:
 4% (s)</t>
  </si>
  <si>
    <t>Central Cooperative Bank AD</t>
  </si>
  <si>
    <t xml:space="preserve">O-SII fully loaded by 01.01.2026 at a rate of 0.5%. </t>
  </si>
  <si>
    <t>All banks
0.5% (s)</t>
  </si>
  <si>
    <t xml:space="preserve">The sSyRB applies to all retail exposures to natural persons that are secured by residential property located in the Member State. </t>
  </si>
  <si>
    <t>J&amp;T FINANCE GROUP SE</t>
  </si>
  <si>
    <t>9 banks:
2%</t>
  </si>
  <si>
    <t>21 banks: 
0%-2%</t>
  </si>
  <si>
    <t>The implementation of the measure had been suspended following the outbreak of the pandemic. DNB initially introduced the measure on 1 January 2022. The measure was extended for additional two years after its expiration on 30 November 2024, and will now be in force until 30 November 2026.</t>
  </si>
  <si>
    <t xml:space="preserve"> The measure was initially implemented in 2020 and extended twice for a period of additional two years, first in 2022 and second from 31/12/2024. </t>
  </si>
  <si>
    <t>The Finansdepartementet decided to extend the  the existing risk weight floor of 20% targeting asset bubbles in the residential real estate sector pursuant to Article 458 (10) of the CRR from 31 December 2024 until 30 June 2025 . From 01/07/2025, therisk weight floor will increase to 25% for Norwegian residential real estate exposures. Should the exposure-weighted average risk weight be lower than the floor, the total risk-weighted assets should be increased correspondingly.</t>
  </si>
  <si>
    <t>The measure was initially implemented on 31 December 2020 and extended for two years in 2022. The measure would extend the existing risk weight floor of 20 pct. from 31 December 2024 until 30 June 2025 and increase the risk weight floor to 25 pct. from 1 July 2025 until 31 December 2026.</t>
  </si>
  <si>
    <t>Euroclear Holding SA/NV</t>
  </si>
  <si>
    <t>All banks: 
0.5%</t>
  </si>
  <si>
    <t>315700E9POA724IWFP59</t>
  </si>
  <si>
    <t xml:space="preserve">7 banks:
6% (s) </t>
  </si>
  <si>
    <t>All banks: 
1% (s)</t>
  </si>
  <si>
    <r>
      <t xml:space="preserve">Notes to the table: 
</t>
    </r>
    <r>
      <rPr>
        <sz val="11"/>
        <color rgb="FF000000"/>
        <rFont val="Calibri"/>
        <family val="2"/>
        <scheme val="minor"/>
      </rPr>
      <t xml:space="preserve">
1) The ECB is not notified of the CCoB, but the latter is included in the table to calculate the combined buffer requirements. The web links point to the places where each NDA publishes new measures. Since the table shows implemented rates, the rates in the web links may differ if they refer to announced rates. 
2) The reported rate is the rate applied to domestic exposures located in the given country. The effective bank-specific CCyB rate can be higher or lower depending on the portfolio composition of individual banks, as it is affected by the CCyB rates of the countries where exposures are located, see Art. 130 CRD IV and Art. 140 CRD IV. For Croatia, Luxembourg, Malta, Poland, Slovakia and Sweden certain small and medium-sized investment firms are exempted from the CCyB+B185. 
3) The left column reports the systemic risk buffer measures (SyRB) , while the right column refers to  sectoral SyRB (sSyRB).
4) The combined buffer requirement is calculated according to Art. 128(1)(6) CRD IV but excludes mandatory or voluntary reciprocity of foreign macroprudential measures according to recommendation ESRB/2015/2. It consists of CET1 capital and comes in addition to a minimum requirement of 8% total capital (4.5% CET1 + 1.5% AT1 + 2% T2). The reported CBR excludes Pillar 2 measures and sectoral measures, such as sSyRBs (in light of the difficulty of calculating requirements at exposure level). The minimum combined buffer requirement at country level corresponds to a bank not subject to any individual bank-level buffer (G-SII, O-SII, SyRB) – i.e., subject only to the CCoB and CCyB, and broad-based country-level SyRB, if applicable. The effective bank-specific rates may differ from the rates in the table, as they are affected by the rate of the country where exposures are located (CCyB, SyRB). The "Other Measures" sheet complements the "Overview of Measure" sheet, in order to provide a comprehensive view of the macroprudential measures implemented in each Member States.  
5) Empty cells indicate fully phased-in buffers. 
</t>
    </r>
  </si>
  <si>
    <r>
      <t xml:space="preserve"> The SyRB for the </t>
    </r>
    <r>
      <rPr>
        <sz val="11"/>
        <rFont val="Calibri"/>
        <family val="2"/>
        <scheme val="minor"/>
      </rPr>
      <t>individual</t>
    </r>
    <r>
      <rPr>
        <sz val="11"/>
        <color theme="1"/>
        <rFont val="Calibri"/>
        <family val="2"/>
        <scheme val="minor"/>
      </rPr>
      <t xml:space="preserve"> level it is 0.5%.</t>
    </r>
  </si>
  <si>
    <t xml:space="preserve">This file provides an overview of the active capital-based measures at the national level, on a consolidated/individual basis, as notified to the ECB and announced by the national authorities. For each measure, a link is provided to the decision-making authority with further background information and explanations of the national decisions and the macroprudential framework. All banks subject to individual buffers (G-SII, O-SII, or country-level SyRB) are included. </t>
  </si>
  <si>
    <t>Sparebank 1 Sør-Norge ASA</t>
  </si>
  <si>
    <t>Please use '+' on the sidelines to view individual banks in specific countries and 
'1' and '2' at the top on the left margin to toggle between country and individual bank view.</t>
  </si>
  <si>
    <t xml:space="preserve">The new O-SII rate will be implemented for one institution on 01.01.2026. 
A 0.5% sSyRB rate applies to all retail exposures to natural persons secured by residential property. A 0.5% sSyRB applies to all exposures to natural persons that are not secured by residential property. </t>
  </si>
  <si>
    <t>All banks: 1%</t>
  </si>
  <si>
    <t>The same O-SII capital buffer applied to the parent institution LSF Nani Investments S.à r.l. also at the sub-consolidated level of Novo Banco, S.A. The same SSyRB applied to the parent institution LSF Nani Investments S.à r.l. also at the sub-consolidated level of Novo Banco, S.A.</t>
  </si>
  <si>
    <t>The measure was introduced in December 2018 and was extended in December 2020, again in December 2021, December 2023 and December 2025.</t>
  </si>
  <si>
    <t>The measure was introduced in September 2023 and was extended in September 2025.</t>
  </si>
  <si>
    <t>CCyB will be increased to 2% from 30.09.2026.</t>
  </si>
  <si>
    <t>Combined buffer requirements as of 31 December 2025</t>
  </si>
  <si>
    <t>The SyRB applies to all exposures (located in Member State setting the buffer, other Member States, and third countries).  A sSyRB of 1% is applicable to a subset of commercial real estate exposures.</t>
  </si>
  <si>
    <t>The SyRB applies to all exposures located in the Member State that is setting the buffer. A new O-SII rate will be implemented for one institution from 01.01.2026.</t>
  </si>
  <si>
    <t xml:space="preserve"> O-SII rate will be increased to 1% from 01.01.2026. </t>
  </si>
  <si>
    <t>O-SII rate will be increased to 2.25% from 01.01.2026.</t>
  </si>
  <si>
    <t xml:space="preserve">The CCyB will be increased to 1.5% from 14.01.2026. A new O-SII rate will be implemented for three institutions from 01.01.2026. </t>
  </si>
  <si>
    <t>O-SII rate will be increased to 0.50% from 01.01.2026.</t>
  </si>
  <si>
    <t>Eurobank Limited</t>
  </si>
  <si>
    <t>VW Financial Services AG</t>
  </si>
  <si>
    <t>529900SSGT49ZZSWYE62</t>
  </si>
  <si>
    <t>O-SII rate of 0.25% will be introduced from 01.01.2026.</t>
  </si>
  <si>
    <t xml:space="preserve">The CCyB will be increased to 0.5% from 01.10.2026. </t>
  </si>
  <si>
    <t>The  sSyRB  applies to credit and counterparty risk-weighted exposures to Italian residents to all banks authorized in Italy. A new O-SII rate will be implemented for one institution from 01.01.2026.</t>
  </si>
  <si>
    <t>O-SII rate will be decreased to 1.25% from 01.01.2026.</t>
  </si>
  <si>
    <t>A new O-SII rate will be introduced for one institution from 01.01.2026.</t>
  </si>
  <si>
    <t>Intesa Sanpaolo Bank Luxembourg S.A.</t>
  </si>
  <si>
    <t>549300H62SNDRT0PS319</t>
  </si>
  <si>
    <t>O-SII rate of 0.5% will be introduced from 01.01.2026.</t>
  </si>
  <si>
    <t xml:space="preserve">A new O-SII rate will be implemented for one institution on 01.01.2026. The sSyRB applies to all retail exposures to natural persons that are secured by residential property located in the Member State. </t>
  </si>
  <si>
    <t>The CCyB will be increased to 0.75% from 01.01.2026. The sSyRB applies to all retail exposures to natural persons that are secured by domestic residential property, for banks that use internal models to compute risk-weighted exposures.</t>
  </si>
  <si>
    <t>The CCyB will be increased to 1% from 01.10.2026. The new O-SII will be implemented for one institution on 01.01.2026.</t>
  </si>
  <si>
    <t>O-SII rate will increase to 1.5% from 01.01.2026 . 
G-SII rate will increase to 1.5% from 01.01.2026.</t>
  </si>
  <si>
    <t xml:space="preserve">A new G-SII rate will be introduced for one institution from 01.01.2026. A new O-SII rate will be introduced for one institution from 01.01.2026. </t>
  </si>
  <si>
    <t>Introduction of recommended upper limits on the ratio of the loan amount to the value of the collateral (“LTV ratio”) and on the ratio of the consumer’s total debt to the consumer’s net income (“DTI ratio”), set at a maximum of 70% and 7 respectively, which apply only to applicants for credit secured by residential property to purchase residential property for investment purposes and to applicants for credit secured by residential property to purchase a third and each additional residential property</t>
  </si>
  <si>
    <t>Czech National Bank</t>
  </si>
  <si>
    <t xml:space="preserve">Article 45b(4) of Act No. 6/1993 Coll
 </t>
  </si>
  <si>
    <t xml:space="preserve">Law CXXXIX of 2013
 </t>
  </si>
  <si>
    <t>From 01.01.2026 PPF Financial Holdings a.s.will not be part of the O-SII list.</t>
  </si>
  <si>
    <r>
      <t>The SyRB applies to all exposures located in the Member State that is setting the buffer.</t>
    </r>
    <r>
      <rPr>
        <b/>
        <sz val="11"/>
        <color rgb="FFFF0000"/>
        <rFont val="Calibri"/>
        <family val="2"/>
        <scheme val="minor"/>
      </rPr>
      <t xml:space="preserve"> </t>
    </r>
    <r>
      <rPr>
        <b/>
        <sz val="11"/>
        <rFont val="Calibri"/>
        <family val="2"/>
        <scheme val="minor"/>
      </rPr>
      <t>From 01.01.2026 PPF Financial Holdings a.s.will not be part of the O-SII list.</t>
    </r>
  </si>
  <si>
    <t xml:space="preserve">Rules on maximum LTV changed: Maximum LTV for first-time buyers increased from 85% to 90%; Maximum LTV for other buyers maintained at 80%.
Rules on maximum DSTI changed: Flexibility quota of the volume of new mortgages each quarter that are exempt from the rules increased from 5% to 10%; Lenders shall calculate the percentage based on the quarter immediately preceding. </t>
  </si>
  <si>
    <t xml:space="preserve">Central Bank of Iceland </t>
  </si>
  <si>
    <t>Chapter VII of law no. 118/2016</t>
  </si>
  <si>
    <t>From 01.01.2026, the SRyB for Patria Bank S.A. will decrease to 0%.</t>
  </si>
  <si>
    <t>Romanian banks are subject to a SyRB  set at 0 percent, 1 percent or 2 percent, according to the 12 months average of the non-performing loans ratio and the coverage ratio with provisions reported by each individual credit institution. From 01.01.2026, the SRyB for Patria Bank S.A. will decrease to 0%.</t>
  </si>
  <si>
    <t>The CCyB will be increased to 1.25% from 01.07.2026. The sSyRB will be deactivated from 01.07.2026. The sSyRB applies to all retail exposures to natural persons that are secured by domestic residential property of banks that use internal models for the computation of risk-weighted exposures.</t>
  </si>
  <si>
    <t>The Magyar Nemzeti Bank (MNB) introduced the MFAR regulation in 2017. The current amendment introduces several modifications in the regulation: Increase of the de minimis limit from HUF 40 billion to HUF 100 billion, exempting non-material banks as of 1 November 2025; Extending MFAR-eligible long term stable funding to funds other than mortgage bonds issued by specialised mortgage banks, including mortgage-backed bonds regardless of the issuer and securitisation structures as of 1 October 2026; Introduction of correction factor disincentivising the bank’s cross-holdings of mortgage-backed bonds as of 1 October 2026; Requirement of stock exchange listing for new mortgage-backed bond issuances as of 1 October 2026.</t>
  </si>
  <si>
    <t>From 1st January 2026, a new sSyRB of 1% will apply to all institutions.</t>
  </si>
  <si>
    <t xml:space="preserve">O-SII rate will be increased to 2% from 01.01.2026. </t>
  </si>
  <si>
    <t>O-SII rate will be decreased to 2.25% from 01.01.2026.</t>
  </si>
  <si>
    <t>Sectoral SyRB of 7% for exposures to real estate companies. Exposures in the LTV band 0-15% are exempted.</t>
  </si>
  <si>
    <t>The sSyRB applies to all exposures to natural persons secured by RRE located in Germany, and all exposures to legal persons secured by German RRE. A new O-SII rate will be introduced for one institution from 01.01.2026. A G-SII rate will be decreased for one institution from 01.01.2026.</t>
  </si>
  <si>
    <t>G-SII rate will be decreased to 1% from 01.01.2026.</t>
  </si>
  <si>
    <t>O-SII rate will be decreased to 0.75% from 01.01.2026.</t>
  </si>
  <si>
    <t xml:space="preserve">O-SII rate will be increased to 2.25% from 01.01.2026. </t>
  </si>
  <si>
    <t>The CCyB will be increased to 2% from 01.01.2027. The SyRB applies to all exposures  (located in Member State setting the buffer, other Member States, and third countries). A new O-SII rate will be implemented for two institutions from 01.01.2026.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</si>
</sst>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 #,##0.00_-;_-* &quot;-&quot;??_-;_-@_-"/>
    <numFmt numFmtId="165" formatCode="0.000%"/>
    <numFmt numFmtId="166" formatCode="0.0##%;;0%"/>
    <numFmt numFmtId="167" formatCode="0.0%"/>
    <numFmt numFmtId="168" formatCode="0.0#%;;0%"/>
    <numFmt numFmtId="169" formatCode="0.0#####%;;0%"/>
    <numFmt numFmtId="170" formatCode="0.0000%"/>
    <numFmt numFmtId="171" formatCode="0.0###%;;0%"/>
  </numFmts>
  <fonts count="40"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sz val="16"/>
      <color theme="1"/>
      <name val="Calibri"/>
      <family val="2"/>
      <scheme val="minor"/>
    </font>
    <font>
      <sz val="12"/>
      <color rgb="FF000000"/>
      <name val="Calibri"/>
      <family val="2"/>
      <scheme val="minor"/>
    </font>
    <font>
      <b/>
      <sz val="12"/>
      <color rgb="FFFF0000"/>
      <name val="Calibri"/>
      <family val="2"/>
      <scheme val="minor"/>
    </font>
    <font>
      <sz val="11"/>
      <color rgb="FF0000FF"/>
      <name val="Calibri"/>
      <family val="2"/>
      <scheme val="minor"/>
    </font>
    <font>
      <b/>
      <sz val="11"/>
      <name val="Calibri"/>
      <family val="2"/>
      <scheme val="minor"/>
    </font>
    <font>
      <sz val="11"/>
      <name val="Calibri"/>
      <family val="2"/>
      <scheme val="minor"/>
    </font>
    <font>
      <u/>
      <sz val="11"/>
      <color theme="10"/>
      <name val="Calibri"/>
      <family val="2"/>
      <scheme val="minor"/>
    </font>
    <font>
      <sz val="11"/>
      <color theme="10"/>
      <name val="Calibri"/>
      <family val="2"/>
      <scheme val="minor"/>
    </font>
    <font>
      <i/>
      <sz val="11"/>
      <color theme="1" tint="0.34998626667073579"/>
      <name val="Calibri"/>
      <family val="2"/>
      <scheme val="minor"/>
    </font>
    <font>
      <b/>
      <sz val="11"/>
      <color theme="10"/>
      <name val="Calibri"/>
      <family val="2"/>
      <scheme val="minor"/>
    </font>
    <font>
      <b/>
      <sz val="11"/>
      <color rgb="FF0000FF"/>
      <name val="Calibri"/>
      <family val="2"/>
      <scheme val="minor"/>
    </font>
    <font>
      <sz val="11"/>
      <color rgb="FF000000"/>
      <name val="Calibri"/>
      <family val="2"/>
      <scheme val="minor"/>
    </font>
    <font>
      <b/>
      <sz val="11"/>
      <color rgb="FF000000"/>
      <name val="Calibri"/>
      <family val="2"/>
      <scheme val="minor"/>
    </font>
    <font>
      <u/>
      <sz val="11"/>
      <color theme="10"/>
      <name val="Calibri"/>
      <family val="2"/>
    </font>
    <font>
      <sz val="10"/>
      <color indexed="8"/>
      <name val="Arial"/>
      <family val="2"/>
      <charset val="238"/>
    </font>
    <font>
      <sz val="10"/>
      <name val="Arial"/>
      <family val="2"/>
    </font>
    <font>
      <sz val="11"/>
      <color theme="1"/>
      <name val="Calibri"/>
      <family val="2"/>
      <charset val="186"/>
      <scheme val="minor"/>
    </font>
    <font>
      <sz val="11"/>
      <color rgb="FF000000"/>
      <name val="Calibri"/>
      <family val="2"/>
    </font>
    <font>
      <sz val="11"/>
      <name val="Calibri"/>
      <family val="2"/>
    </font>
    <font>
      <b/>
      <sz val="14"/>
      <name val="Arial"/>
      <family val="2"/>
    </font>
    <font>
      <b/>
      <sz val="10"/>
      <name val="Arial"/>
      <family val="2"/>
    </font>
    <font>
      <sz val="8"/>
      <name val="Arial"/>
      <family val="2"/>
    </font>
    <font>
      <b/>
      <sz val="10"/>
      <color indexed="23"/>
      <name val="Lucida Console"/>
      <family val="3"/>
    </font>
    <font>
      <sz val="10"/>
      <color indexed="9"/>
      <name val="Arial"/>
      <family val="2"/>
    </font>
    <font>
      <b/>
      <i/>
      <sz val="10"/>
      <color indexed="10"/>
      <name val="Arial"/>
      <family val="2"/>
    </font>
    <font>
      <b/>
      <i/>
      <sz val="10"/>
      <color indexed="63"/>
      <name val="Arial"/>
      <family val="2"/>
    </font>
    <font>
      <sz val="10"/>
      <color indexed="8"/>
      <name val="Arial"/>
      <family val="2"/>
    </font>
    <font>
      <b/>
      <sz val="10"/>
      <color indexed="9"/>
      <name val="arial"/>
      <family val="2"/>
    </font>
    <font>
      <sz val="11"/>
      <color theme="1" tint="0.34998626667073579"/>
      <name val="Calibri"/>
      <family val="2"/>
      <scheme val="minor"/>
    </font>
    <font>
      <b/>
      <sz val="14"/>
      <name val="Calibri"/>
      <family val="2"/>
      <scheme val="minor"/>
    </font>
    <font>
      <sz val="10"/>
      <color theme="1"/>
      <name val="Calibri"/>
      <family val="2"/>
      <scheme val="minor"/>
    </font>
    <font>
      <sz val="8"/>
      <name val="Calibri"/>
      <family val="2"/>
      <scheme val="minor"/>
    </font>
    <font>
      <b/>
      <sz val="11"/>
      <color rgb="FFFF0000"/>
      <name val="Calibri"/>
      <family val="2"/>
      <scheme val="minor"/>
    </font>
    <font>
      <b/>
      <u/>
      <sz val="11"/>
      <color theme="10"/>
      <name val="Calibri"/>
      <family val="2"/>
      <scheme val="minor"/>
    </font>
    <font>
      <b/>
      <strike/>
      <sz val="11"/>
      <color rgb="FFFF0000"/>
      <name val="Calibri"/>
      <family val="2"/>
      <scheme val="minor"/>
    </font>
    <font>
      <i/>
      <sz val="11"/>
      <color theme="1"/>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3" tint="0.79998168889431442"/>
        <bgColor indexed="64"/>
      </patternFill>
    </fill>
    <fill>
      <patternFill patternType="solid">
        <fgColor rgb="FFC5D9F1"/>
        <bgColor indexed="64"/>
      </patternFill>
    </fill>
    <fill>
      <patternFill patternType="solid">
        <fgColor indexed="62"/>
        <bgColor indexed="64"/>
      </patternFill>
    </fill>
    <fill>
      <patternFill patternType="solid">
        <fgColor indexed="61"/>
        <bgColor indexed="64"/>
      </patternFill>
    </fill>
    <fill>
      <patternFill patternType="solid">
        <fgColor indexed="60"/>
        <bgColor indexed="64"/>
      </patternFill>
    </fill>
    <fill>
      <patternFill patternType="solid">
        <fgColor indexed="59"/>
        <bgColor indexed="64"/>
      </patternFill>
    </fill>
    <fill>
      <patternFill patternType="solid">
        <fgColor indexed="58"/>
        <bgColor indexed="64"/>
      </patternFill>
    </fill>
    <fill>
      <patternFill patternType="solid">
        <fgColor indexed="57"/>
        <bgColor indexed="64"/>
      </patternFill>
    </fill>
    <fill>
      <patternFill patternType="solid">
        <fgColor indexed="56"/>
        <bgColor indexed="64"/>
      </patternFill>
    </fill>
    <fill>
      <patternFill patternType="solid">
        <fgColor indexed="9"/>
        <bgColor indexed="64"/>
      </patternFill>
    </fill>
    <fill>
      <patternFill patternType="solid">
        <fgColor indexed="8"/>
        <bgColor indexed="64"/>
      </patternFill>
    </fill>
  </fills>
  <borders count="43">
    <border>
      <left/>
      <right/>
      <top/>
      <bottom/>
      <diagonal/>
    </border>
    <border>
      <left style="hair">
        <color indexed="64"/>
      </left>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bottom/>
      <diagonal/>
    </border>
    <border>
      <left/>
      <right style="hair">
        <color indexed="64"/>
      </right>
      <top/>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bottom/>
      <diagonal/>
    </border>
    <border>
      <left style="hair">
        <color indexed="64"/>
      </left>
      <right/>
      <top/>
      <bottom style="thin">
        <color indexed="64"/>
      </bottom>
      <diagonal/>
    </border>
    <border>
      <left/>
      <right style="hair">
        <color indexed="64"/>
      </right>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hair">
        <color indexed="64"/>
      </right>
      <top/>
      <bottom style="thin">
        <color indexed="64"/>
      </bottom>
      <diagonal/>
    </border>
    <border>
      <left style="hair">
        <color indexed="64"/>
      </left>
      <right/>
      <top style="thin">
        <color indexed="64"/>
      </top>
      <bottom/>
      <diagonal/>
    </border>
    <border>
      <left/>
      <right style="hair">
        <color indexed="64"/>
      </right>
      <top style="thin">
        <color indexed="64"/>
      </top>
      <bottom/>
      <diagonal/>
    </border>
    <border>
      <left style="hair">
        <color indexed="64"/>
      </left>
      <right/>
      <top/>
      <bottom style="hair">
        <color indexed="64"/>
      </bottom>
      <diagonal/>
    </border>
    <border>
      <left/>
      <right style="hair">
        <color indexed="64"/>
      </right>
      <top/>
      <bottom style="hair">
        <color indexed="64"/>
      </bottom>
      <diagonal/>
    </border>
    <border>
      <left/>
      <right/>
      <top style="hair">
        <color indexed="64"/>
      </top>
      <bottom/>
      <diagonal/>
    </border>
    <border>
      <left style="medium">
        <color indexed="23"/>
      </left>
      <right/>
      <top style="medium">
        <color indexed="23"/>
      </top>
      <bottom/>
      <diagonal/>
    </border>
    <border>
      <left/>
      <right/>
      <top style="medium">
        <color indexed="23"/>
      </top>
      <bottom/>
      <diagonal/>
    </border>
    <border>
      <left/>
      <right style="medium">
        <color indexed="23"/>
      </right>
      <top style="medium">
        <color indexed="23"/>
      </top>
      <bottom/>
      <diagonal/>
    </border>
    <border>
      <left style="medium">
        <color indexed="61"/>
      </left>
      <right/>
      <top/>
      <bottom/>
      <diagonal/>
    </border>
    <border>
      <left style="medium">
        <color indexed="60"/>
      </left>
      <right/>
      <top/>
      <bottom/>
      <diagonal/>
    </border>
    <border>
      <left style="medium">
        <color indexed="59"/>
      </left>
      <right/>
      <top/>
      <bottom/>
      <diagonal/>
    </border>
    <border>
      <left style="medium">
        <color indexed="61"/>
      </left>
      <right style="medium">
        <color indexed="61"/>
      </right>
      <top style="medium">
        <color indexed="61"/>
      </top>
      <bottom style="medium">
        <color indexed="61"/>
      </bottom>
      <diagonal/>
    </border>
    <border>
      <left style="medium">
        <color indexed="60"/>
      </left>
      <right style="medium">
        <color indexed="60"/>
      </right>
      <top style="medium">
        <color indexed="60"/>
      </top>
      <bottom style="medium">
        <color indexed="60"/>
      </bottom>
      <diagonal/>
    </border>
    <border>
      <left style="medium">
        <color indexed="59"/>
      </left>
      <right style="medium">
        <color indexed="59"/>
      </right>
      <top style="medium">
        <color indexed="59"/>
      </top>
      <bottom style="medium">
        <color indexed="59"/>
      </bottom>
      <diagonal/>
    </border>
    <border>
      <left/>
      <right/>
      <top/>
      <bottom style="medium">
        <color indexed="8"/>
      </bottom>
      <diagonal/>
    </border>
    <border>
      <left style="thin">
        <color indexed="64"/>
      </left>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top/>
      <bottom/>
      <diagonal/>
    </border>
    <border>
      <left style="hair">
        <color indexed="64"/>
      </left>
      <right style="thin">
        <color indexed="64"/>
      </right>
      <top style="hair">
        <color indexed="64"/>
      </top>
      <bottom style="hair">
        <color indexed="64"/>
      </bottom>
      <diagonal/>
    </border>
    <border>
      <left style="hair">
        <color indexed="64"/>
      </left>
      <right style="thin">
        <color indexed="64"/>
      </right>
      <top style="hair">
        <color indexed="64"/>
      </top>
      <bottom/>
      <diagonal/>
    </border>
    <border>
      <left style="hair">
        <color indexed="64"/>
      </left>
      <right style="thin">
        <color indexed="64"/>
      </right>
      <top/>
      <bottom style="hair">
        <color indexed="64"/>
      </bottom>
      <diagonal/>
    </border>
    <border>
      <left style="thin">
        <color indexed="64"/>
      </left>
      <right/>
      <top style="hair">
        <color indexed="64"/>
      </top>
      <bottom/>
      <diagonal/>
    </border>
    <border>
      <left/>
      <right/>
      <top style="thin">
        <color indexed="64"/>
      </top>
      <bottom/>
      <diagonal/>
    </border>
    <border>
      <left/>
      <right/>
      <top/>
      <bottom style="hair">
        <color indexed="64"/>
      </bottom>
      <diagonal/>
    </border>
    <border>
      <left style="hair">
        <color indexed="64"/>
      </left>
      <right/>
      <top style="hair">
        <color indexed="64"/>
      </top>
      <bottom style="thin">
        <color indexed="64"/>
      </bottom>
      <diagonal/>
    </border>
    <border>
      <left/>
      <right style="hair">
        <color indexed="64"/>
      </right>
      <top style="hair">
        <color indexed="64"/>
      </top>
      <bottom style="thin">
        <color indexed="64"/>
      </bottom>
      <diagonal/>
    </border>
  </borders>
  <cellStyleXfs count="47">
    <xf numFmtId="0" fontId="0" fillId="0" borderId="0"/>
    <xf numFmtId="0" fontId="3" fillId="0" borderId="0" applyNumberFormat="0" applyFill="0" applyBorder="0" applyAlignment="0" applyProtection="0"/>
    <xf numFmtId="0" fontId="3" fillId="0" borderId="0" applyNumberFormat="0" applyFill="0" applyBorder="0" applyAlignment="0" applyProtection="0"/>
    <xf numFmtId="0" fontId="10" fillId="0" borderId="0" applyNumberFormat="0" applyFill="0" applyBorder="0" applyAlignment="0" applyProtection="0"/>
    <xf numFmtId="164" fontId="1" fillId="0" borderId="0" applyFont="0" applyFill="0" applyBorder="0" applyAlignment="0" applyProtection="0"/>
    <xf numFmtId="0" fontId="10" fillId="0" borderId="0" applyNumberFormat="0" applyFill="0" applyBorder="0" applyAlignment="0" applyProtection="0"/>
    <xf numFmtId="0" fontId="17" fillId="0" borderId="0" applyNumberFormat="0" applyFill="0" applyBorder="0" applyAlignment="0" applyProtection="0"/>
    <xf numFmtId="0" fontId="18" fillId="0" borderId="0"/>
    <xf numFmtId="0" fontId="19" fillId="0" borderId="0"/>
    <xf numFmtId="0" fontId="20" fillId="0" borderId="0"/>
    <xf numFmtId="0" fontId="21" fillId="0" borderId="0"/>
    <xf numFmtId="0" fontId="22" fillId="0" borderId="0"/>
    <xf numFmtId="0" fontId="19" fillId="0" borderId="0"/>
    <xf numFmtId="0" fontId="19" fillId="0" borderId="0"/>
    <xf numFmtId="0" fontId="21" fillId="0" borderId="0"/>
    <xf numFmtId="0" fontId="19" fillId="0" borderId="0"/>
    <xf numFmtId="0" fontId="19" fillId="0" borderId="0"/>
    <xf numFmtId="0" fontId="22" fillId="0" borderId="0"/>
    <xf numFmtId="0" fontId="22" fillId="0" borderId="0"/>
    <xf numFmtId="0" fontId="19" fillId="0" borderId="0"/>
    <xf numFmtId="0" fontId="19" fillId="0" borderId="0"/>
    <xf numFmtId="0" fontId="1" fillId="0" borderId="0"/>
    <xf numFmtId="0" fontId="22" fillId="0" borderId="0"/>
    <xf numFmtId="0" fontId="22" fillId="0" borderId="0"/>
    <xf numFmtId="0" fontId="22" fillId="0" borderId="0"/>
    <xf numFmtId="9" fontId="19" fillId="0" borderId="0" applyFont="0" applyFill="0" applyBorder="0" applyAlignment="0" applyProtection="0"/>
    <xf numFmtId="9" fontId="1" fillId="0" borderId="0" applyFont="0" applyFill="0" applyBorder="0" applyAlignment="0" applyProtection="0"/>
    <xf numFmtId="0" fontId="23" fillId="0" borderId="0" applyNumberFormat="0" applyFill="0" applyBorder="0" applyAlignment="0" applyProtection="0"/>
    <xf numFmtId="0" fontId="24" fillId="5" borderId="0" applyNumberFormat="0" applyBorder="0" applyProtection="0">
      <alignment wrapText="1"/>
    </xf>
    <xf numFmtId="0" fontId="24" fillId="0" borderId="0" applyNumberFormat="0" applyFill="0" applyBorder="0" applyProtection="0">
      <alignment wrapText="1"/>
    </xf>
    <xf numFmtId="0" fontId="25" fillId="0" borderId="0" applyNumberFormat="0" applyFill="0" applyBorder="0" applyProtection="0">
      <alignment vertical="top" wrapText="1"/>
    </xf>
    <xf numFmtId="0" fontId="26" fillId="0" borderId="0" applyNumberFormat="0" applyFill="0" applyBorder="0" applyAlignment="0" applyProtection="0"/>
    <xf numFmtId="0" fontId="19" fillId="0" borderId="21" applyNumberFormat="0" applyFont="0" applyFill="0" applyAlignment="0" applyProtection="0"/>
    <xf numFmtId="0" fontId="19" fillId="0" borderId="22" applyNumberFormat="0" applyFont="0" applyFill="0" applyAlignment="0" applyProtection="0"/>
    <xf numFmtId="0" fontId="19" fillId="0" borderId="23" applyNumberFormat="0" applyFont="0" applyFill="0" applyAlignment="0" applyProtection="0"/>
    <xf numFmtId="0" fontId="27" fillId="6" borderId="24" applyNumberFormat="0" applyAlignment="0" applyProtection="0"/>
    <xf numFmtId="0" fontId="27" fillId="7" borderId="25" applyNumberFormat="0" applyAlignment="0" applyProtection="0"/>
    <xf numFmtId="0" fontId="19" fillId="8" borderId="26" applyNumberFormat="0" applyFont="0" applyAlignment="0" applyProtection="0"/>
    <xf numFmtId="0" fontId="19" fillId="9" borderId="27" applyNumberFormat="0" applyFont="0" applyAlignment="0" applyProtection="0"/>
    <xf numFmtId="0" fontId="19" fillId="10" borderId="28" applyNumberFormat="0" applyFont="0" applyAlignment="0" applyProtection="0"/>
    <xf numFmtId="0" fontId="19" fillId="11" borderId="29" applyNumberFormat="0" applyFont="0" applyAlignment="0" applyProtection="0"/>
    <xf numFmtId="0" fontId="19" fillId="12" borderId="0" applyNumberFormat="0" applyFont="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30" fillId="0" borderId="30" applyNumberFormat="0" applyFill="0" applyAlignment="0" applyProtection="0"/>
    <xf numFmtId="0" fontId="31" fillId="13" borderId="0" applyNumberFormat="0" applyBorder="0" applyAlignment="0" applyProtection="0"/>
    <xf numFmtId="9" fontId="1" fillId="0" borderId="0" applyFont="0" applyFill="0" applyBorder="0" applyAlignment="0" applyProtection="0"/>
  </cellStyleXfs>
  <cellXfs count="224">
    <xf numFmtId="0" fontId="0" fillId="0" borderId="0" xfId="0"/>
    <xf numFmtId="165" fontId="4" fillId="0" borderId="0" xfId="0" applyNumberFormat="1" applyFont="1" applyAlignment="1">
      <alignment horizontal="left"/>
    </xf>
    <xf numFmtId="165" fontId="3" fillId="3" borderId="1" xfId="1" applyNumberFormat="1" applyFont="1" applyFill="1" applyBorder="1" applyAlignment="1">
      <alignment horizontal="center" wrapText="1"/>
    </xf>
    <xf numFmtId="165" fontId="0" fillId="0" borderId="0" xfId="0" applyNumberFormat="1" applyFont="1" applyBorder="1" applyAlignment="1">
      <alignment vertical="center"/>
    </xf>
    <xf numFmtId="165" fontId="0" fillId="0" borderId="0" xfId="0" applyNumberFormat="1" applyFont="1" applyAlignment="1">
      <alignment horizontal="center" vertical="center" wrapText="1"/>
    </xf>
    <xf numFmtId="165" fontId="3" fillId="0" borderId="0" xfId="2" applyNumberFormat="1" applyFont="1" applyAlignment="1">
      <alignment horizontal="center" vertical="center" wrapText="1"/>
    </xf>
    <xf numFmtId="165" fontId="0" fillId="0" borderId="0" xfId="0" applyNumberFormat="1" applyFont="1" applyAlignment="1">
      <alignment vertical="center" wrapText="1"/>
    </xf>
    <xf numFmtId="165" fontId="0" fillId="0" borderId="0" xfId="0" applyNumberFormat="1" applyFont="1" applyFill="1" applyAlignment="1">
      <alignment vertical="center" wrapText="1"/>
    </xf>
    <xf numFmtId="0" fontId="5" fillId="0" borderId="0" xfId="0" applyFont="1" applyAlignment="1">
      <alignment vertical="top"/>
    </xf>
    <xf numFmtId="165" fontId="2" fillId="0" borderId="0" xfId="0" applyNumberFormat="1" applyFont="1" applyAlignment="1">
      <alignment vertical="center" wrapText="1"/>
    </xf>
    <xf numFmtId="165" fontId="2" fillId="0" borderId="0" xfId="0" applyNumberFormat="1" applyFont="1" applyFill="1" applyAlignment="1">
      <alignment vertical="center" wrapText="1"/>
    </xf>
    <xf numFmtId="165" fontId="3" fillId="0" borderId="10" xfId="0" applyNumberFormat="1" applyFont="1" applyBorder="1" applyAlignment="1">
      <alignment horizontal="center" vertical="center" wrapText="1"/>
    </xf>
    <xf numFmtId="165" fontId="11" fillId="0" borderId="12" xfId="3" applyNumberFormat="1" applyFont="1" applyFill="1" applyBorder="1" applyAlignment="1">
      <alignment vertical="center" wrapText="1"/>
    </xf>
    <xf numFmtId="165" fontId="12" fillId="0" borderId="13" xfId="3" applyNumberFormat="1" applyFont="1" applyFill="1" applyBorder="1" applyAlignment="1">
      <alignment vertical="center" wrapText="1"/>
    </xf>
    <xf numFmtId="165" fontId="0" fillId="2" borderId="14" xfId="0" applyNumberFormat="1" applyFont="1" applyFill="1" applyBorder="1" applyAlignment="1">
      <alignment horizontal="center" vertical="center" wrapText="1"/>
    </xf>
    <xf numFmtId="165" fontId="1" fillId="0" borderId="14" xfId="2" applyNumberFormat="1" applyFont="1" applyBorder="1" applyAlignment="1">
      <alignment horizontal="center" vertical="center" wrapText="1"/>
    </xf>
    <xf numFmtId="165" fontId="1" fillId="0" borderId="14" xfId="1" applyNumberFormat="1" applyFont="1" applyBorder="1" applyAlignment="1">
      <alignment horizontal="center" vertical="center" wrapText="1"/>
    </xf>
    <xf numFmtId="165" fontId="3" fillId="0" borderId="0" xfId="1" applyNumberFormat="1" applyFont="1" applyFill="1" applyAlignment="1">
      <alignment vertical="center" wrapText="1"/>
    </xf>
    <xf numFmtId="165" fontId="3" fillId="0" borderId="0" xfId="1" applyNumberFormat="1" applyFont="1" applyFill="1" applyAlignment="1">
      <alignment horizontal="center" vertical="center" wrapText="1"/>
    </xf>
    <xf numFmtId="165" fontId="0" fillId="0" borderId="4" xfId="0" applyNumberFormat="1" applyFont="1" applyBorder="1" applyAlignment="1">
      <alignment horizontal="left" vertical="center" wrapText="1"/>
    </xf>
    <xf numFmtId="165" fontId="0" fillId="0" borderId="7" xfId="0" applyNumberFormat="1" applyFont="1" applyBorder="1" applyAlignment="1">
      <alignment vertical="center"/>
    </xf>
    <xf numFmtId="165" fontId="9" fillId="0" borderId="6" xfId="0" applyNumberFormat="1" applyFont="1" applyBorder="1" applyAlignment="1">
      <alignment vertical="center" wrapText="1"/>
    </xf>
    <xf numFmtId="165" fontId="12" fillId="0" borderId="6" xfId="0" applyNumberFormat="1" applyFont="1" applyBorder="1" applyAlignment="1">
      <alignment horizontal="left" vertical="center" wrapText="1"/>
    </xf>
    <xf numFmtId="165" fontId="0" fillId="0" borderId="1" xfId="0" applyNumberFormat="1" applyFont="1" applyBorder="1" applyAlignment="1">
      <alignment horizontal="left" vertical="center" wrapText="1"/>
    </xf>
    <xf numFmtId="165" fontId="12" fillId="0" borderId="2" xfId="0" applyNumberFormat="1" applyFont="1" applyBorder="1" applyAlignment="1">
      <alignment horizontal="left" vertical="center" wrapText="1"/>
    </xf>
    <xf numFmtId="165" fontId="0" fillId="0" borderId="0" xfId="0" applyNumberFormat="1" applyFont="1" applyAlignment="1">
      <alignment vertical="center"/>
    </xf>
    <xf numFmtId="165" fontId="0" fillId="0" borderId="7" xfId="0" applyNumberFormat="1" applyFont="1" applyBorder="1" applyAlignment="1">
      <alignment horizontal="left" vertical="center" wrapText="1"/>
    </xf>
    <xf numFmtId="165" fontId="0" fillId="0" borderId="0" xfId="0" applyNumberFormat="1" applyAlignment="1">
      <alignment vertical="center" wrapText="1"/>
    </xf>
    <xf numFmtId="165" fontId="3" fillId="0" borderId="0" xfId="1" applyNumberFormat="1" applyAlignment="1">
      <alignment vertical="center" wrapText="1"/>
    </xf>
    <xf numFmtId="165" fontId="3" fillId="0" borderId="0" xfId="1" applyNumberFormat="1" applyAlignment="1">
      <alignment horizontal="center" vertical="center" wrapText="1"/>
    </xf>
    <xf numFmtId="166" fontId="8" fillId="2" borderId="10" xfId="0" applyNumberFormat="1" applyFont="1" applyFill="1" applyBorder="1" applyAlignment="1">
      <alignment horizontal="center" vertical="center" wrapText="1"/>
    </xf>
    <xf numFmtId="166" fontId="3" fillId="0" borderId="10" xfId="0" applyNumberFormat="1" applyFont="1" applyBorder="1" applyAlignment="1">
      <alignment horizontal="center" vertical="center" wrapText="1"/>
    </xf>
    <xf numFmtId="166" fontId="0" fillId="2" borderId="10" xfId="0" applyNumberFormat="1" applyFont="1" applyFill="1" applyBorder="1" applyAlignment="1">
      <alignment horizontal="center" vertical="center" wrapText="1"/>
    </xf>
    <xf numFmtId="166" fontId="8" fillId="0" borderId="10" xfId="0" applyNumberFormat="1" applyFont="1" applyBorder="1" applyAlignment="1">
      <alignment horizontal="center" vertical="center" wrapText="1"/>
    </xf>
    <xf numFmtId="166" fontId="8" fillId="0" borderId="3" xfId="0" applyNumberFormat="1" applyFont="1" applyBorder="1" applyAlignment="1">
      <alignment horizontal="center" vertical="center" wrapText="1"/>
    </xf>
    <xf numFmtId="166" fontId="8" fillId="2" borderId="3" xfId="0" applyNumberFormat="1" applyFont="1" applyFill="1" applyBorder="1" applyAlignment="1">
      <alignment horizontal="center" vertical="center" wrapText="1"/>
    </xf>
    <xf numFmtId="166" fontId="3" fillId="0" borderId="3" xfId="0" applyNumberFormat="1" applyFont="1" applyBorder="1" applyAlignment="1">
      <alignment horizontal="center" vertical="center" wrapText="1"/>
    </xf>
    <xf numFmtId="167" fontId="8" fillId="0" borderId="10" xfId="0" applyNumberFormat="1" applyFont="1" applyBorder="1" applyAlignment="1">
      <alignment horizontal="center" vertical="center" wrapText="1"/>
    </xf>
    <xf numFmtId="167" fontId="8" fillId="2" borderId="10" xfId="0" applyNumberFormat="1" applyFont="1" applyFill="1" applyBorder="1" applyAlignment="1">
      <alignment horizontal="center" vertical="center" wrapText="1"/>
    </xf>
    <xf numFmtId="10" fontId="8" fillId="0" borderId="10" xfId="0" applyNumberFormat="1" applyFont="1" applyBorder="1" applyAlignment="1">
      <alignment horizontal="center" vertical="center" wrapText="1"/>
    </xf>
    <xf numFmtId="165" fontId="9" fillId="0" borderId="2" xfId="0" applyNumberFormat="1" applyFont="1" applyBorder="1" applyAlignment="1">
      <alignment vertical="center" wrapText="1"/>
    </xf>
    <xf numFmtId="167" fontId="8" fillId="0" borderId="3" xfId="0" applyNumberFormat="1" applyFont="1" applyBorder="1" applyAlignment="1">
      <alignment horizontal="center" vertical="center" wrapText="1"/>
    </xf>
    <xf numFmtId="166" fontId="0" fillId="2" borderId="3" xfId="0" applyNumberFormat="1" applyFont="1" applyFill="1" applyBorder="1" applyAlignment="1">
      <alignment horizontal="center" vertical="center" wrapText="1"/>
    </xf>
    <xf numFmtId="165" fontId="8" fillId="0" borderId="10" xfId="0" applyNumberFormat="1" applyFont="1" applyBorder="1" applyAlignment="1">
      <alignment horizontal="center" vertical="center" wrapText="1"/>
    </xf>
    <xf numFmtId="165" fontId="0" fillId="0" borderId="4" xfId="0" applyNumberFormat="1" applyBorder="1" applyAlignment="1">
      <alignment horizontal="left" vertical="center" wrapText="1"/>
    </xf>
    <xf numFmtId="166" fontId="0" fillId="2" borderId="10" xfId="0" applyNumberFormat="1" applyFill="1" applyBorder="1" applyAlignment="1">
      <alignment horizontal="center" vertical="center" wrapText="1"/>
    </xf>
    <xf numFmtId="10" fontId="0" fillId="2" borderId="10" xfId="46" applyNumberFormat="1" applyFont="1" applyFill="1" applyBorder="1" applyAlignment="1">
      <alignment horizontal="center" vertical="center" wrapText="1"/>
    </xf>
    <xf numFmtId="165" fontId="38" fillId="0" borderId="10" xfId="0" applyNumberFormat="1" applyFont="1" applyBorder="1" applyAlignment="1">
      <alignment horizontal="center" vertical="center" wrapText="1"/>
    </xf>
    <xf numFmtId="10" fontId="9" fillId="0" borderId="10" xfId="0" applyNumberFormat="1" applyFont="1" applyBorder="1" applyAlignment="1">
      <alignment horizontal="center" vertical="center" wrapText="1"/>
    </xf>
    <xf numFmtId="165" fontId="0" fillId="0" borderId="6" xfId="0" applyNumberFormat="1" applyBorder="1" applyAlignment="1">
      <alignment vertical="center" wrapText="1"/>
    </xf>
    <xf numFmtId="165" fontId="38" fillId="0" borderId="3" xfId="0" applyNumberFormat="1" applyFont="1" applyBorder="1" applyAlignment="1">
      <alignment horizontal="center" vertical="center" wrapText="1"/>
    </xf>
    <xf numFmtId="169" fontId="8" fillId="0" borderId="10" xfId="0" applyNumberFormat="1" applyFont="1" applyBorder="1" applyAlignment="1">
      <alignment horizontal="center" vertical="center" wrapText="1"/>
    </xf>
    <xf numFmtId="169" fontId="8" fillId="0" borderId="3" xfId="0" applyNumberFormat="1" applyFont="1" applyBorder="1" applyAlignment="1">
      <alignment horizontal="center" vertical="center" wrapText="1"/>
    </xf>
    <xf numFmtId="168" fontId="3" fillId="0" borderId="10" xfId="0" applyNumberFormat="1" applyFont="1" applyBorder="1" applyAlignment="1">
      <alignment horizontal="center" vertical="center" wrapText="1"/>
    </xf>
    <xf numFmtId="10" fontId="8" fillId="0" borderId="3" xfId="0" applyNumberFormat="1" applyFont="1" applyBorder="1" applyAlignment="1">
      <alignment horizontal="center" vertical="center" wrapText="1"/>
    </xf>
    <xf numFmtId="170" fontId="8" fillId="0" borderId="10" xfId="0" applyNumberFormat="1" applyFont="1" applyBorder="1" applyAlignment="1">
      <alignment horizontal="center" vertical="center" wrapText="1"/>
    </xf>
    <xf numFmtId="168" fontId="0" fillId="2" borderId="10" xfId="0" applyNumberFormat="1" applyFont="1" applyFill="1" applyBorder="1" applyAlignment="1">
      <alignment horizontal="center" vertical="center" wrapText="1"/>
    </xf>
    <xf numFmtId="171" fontId="0" fillId="2" borderId="10" xfId="0" applyNumberFormat="1" applyFont="1" applyFill="1" applyBorder="1" applyAlignment="1">
      <alignment horizontal="center" vertical="center" wrapText="1"/>
    </xf>
    <xf numFmtId="165" fontId="0" fillId="0" borderId="6" xfId="0" applyNumberFormat="1" applyFont="1" applyBorder="1" applyAlignment="1">
      <alignment vertical="center" wrapText="1"/>
    </xf>
    <xf numFmtId="165" fontId="39" fillId="0" borderId="6" xfId="0" applyNumberFormat="1" applyFont="1" applyBorder="1" applyAlignment="1">
      <alignment horizontal="left" vertical="center" wrapText="1"/>
    </xf>
    <xf numFmtId="167" fontId="3" fillId="0" borderId="10" xfId="0" applyNumberFormat="1" applyFont="1" applyBorder="1" applyAlignment="1">
      <alignment horizontal="center" vertical="center" wrapText="1"/>
    </xf>
    <xf numFmtId="10" fontId="3" fillId="0" borderId="10" xfId="0" applyNumberFormat="1" applyFont="1" applyBorder="1" applyAlignment="1">
      <alignment horizontal="center" vertical="center" wrapText="1"/>
    </xf>
    <xf numFmtId="9" fontId="3" fillId="0" borderId="3" xfId="0" applyNumberFormat="1" applyFont="1" applyBorder="1" applyAlignment="1">
      <alignment horizontal="center" vertical="center" wrapText="1"/>
    </xf>
    <xf numFmtId="10" fontId="0" fillId="0" borderId="10" xfId="0" applyNumberFormat="1" applyFont="1" applyBorder="1" applyAlignment="1">
      <alignment horizontal="center" vertical="center" wrapText="1"/>
    </xf>
    <xf numFmtId="165" fontId="39" fillId="0" borderId="2" xfId="0" applyNumberFormat="1" applyFont="1" applyBorder="1" applyAlignment="1">
      <alignment horizontal="left" vertical="center" wrapText="1"/>
    </xf>
    <xf numFmtId="167" fontId="3" fillId="0" borderId="3" xfId="0" applyNumberFormat="1" applyFont="1" applyBorder="1" applyAlignment="1">
      <alignment horizontal="center" vertical="center" wrapText="1"/>
    </xf>
    <xf numFmtId="167" fontId="0" fillId="0" borderId="10" xfId="0" applyNumberFormat="1" applyFont="1" applyBorder="1" applyAlignment="1">
      <alignment horizontal="center" vertical="center" wrapText="1"/>
    </xf>
    <xf numFmtId="0" fontId="0" fillId="0" borderId="40" xfId="0" applyBorder="1"/>
    <xf numFmtId="10" fontId="8" fillId="0" borderId="10" xfId="0" applyNumberFormat="1" applyFont="1" applyFill="1" applyBorder="1" applyAlignment="1">
      <alignment horizontal="center" vertical="center" wrapText="1"/>
    </xf>
    <xf numFmtId="167" fontId="8" fillId="0" borderId="10" xfId="0" applyNumberFormat="1" applyFont="1" applyFill="1" applyBorder="1" applyAlignment="1">
      <alignment horizontal="center" vertical="center" wrapText="1"/>
    </xf>
    <xf numFmtId="166" fontId="3" fillId="0" borderId="10" xfId="0" applyNumberFormat="1" applyFont="1" applyFill="1" applyBorder="1" applyAlignment="1">
      <alignment horizontal="center" vertical="center" wrapText="1"/>
    </xf>
    <xf numFmtId="165" fontId="1" fillId="0" borderId="6" xfId="0" applyNumberFormat="1" applyFont="1" applyBorder="1" applyAlignment="1">
      <alignment vertical="center" wrapText="1"/>
    </xf>
    <xf numFmtId="166" fontId="3" fillId="2" borderId="10" xfId="0" applyNumberFormat="1" applyFont="1" applyFill="1" applyBorder="1" applyAlignment="1">
      <alignment horizontal="center" vertical="center" wrapText="1"/>
    </xf>
    <xf numFmtId="165" fontId="3" fillId="0" borderId="3" xfId="0" applyNumberFormat="1" applyFont="1" applyBorder="1" applyAlignment="1">
      <alignment horizontal="center" vertical="center" wrapText="1"/>
    </xf>
    <xf numFmtId="165" fontId="3" fillId="3" borderId="20" xfId="1" applyNumberFormat="1" applyFont="1" applyFill="1" applyBorder="1" applyAlignment="1">
      <alignment horizontal="center" wrapText="1"/>
    </xf>
    <xf numFmtId="165" fontId="3" fillId="3" borderId="2" xfId="1" applyNumberFormat="1" applyFont="1" applyFill="1" applyBorder="1" applyAlignment="1">
      <alignment horizontal="center" wrapText="1"/>
    </xf>
    <xf numFmtId="165" fontId="11" fillId="3" borderId="18" xfId="3" applyNumberFormat="1" applyFont="1" applyFill="1" applyBorder="1" applyAlignment="1">
      <alignment horizontal="center" vertical="top" wrapText="1"/>
    </xf>
    <xf numFmtId="165" fontId="11" fillId="3" borderId="40" xfId="3" applyNumberFormat="1" applyFont="1" applyFill="1" applyBorder="1" applyAlignment="1">
      <alignment horizontal="center" vertical="top" wrapText="1"/>
    </xf>
    <xf numFmtId="165" fontId="11" fillId="3" borderId="19" xfId="3" applyNumberFormat="1" applyFont="1" applyFill="1" applyBorder="1" applyAlignment="1">
      <alignment horizontal="center" vertical="top" wrapText="1"/>
    </xf>
    <xf numFmtId="166" fontId="14" fillId="3" borderId="3" xfId="1" applyNumberFormat="1" applyFont="1" applyFill="1" applyBorder="1" applyAlignment="1">
      <alignment horizontal="center" vertical="center" wrapText="1"/>
    </xf>
    <xf numFmtId="166" fontId="14" fillId="3" borderId="9" xfId="1" applyNumberFormat="1" applyFont="1" applyFill="1" applyBorder="1" applyAlignment="1">
      <alignment horizontal="center" vertical="center" wrapText="1"/>
    </xf>
    <xf numFmtId="166" fontId="13" fillId="3" borderId="3" xfId="3" applyNumberFormat="1" applyFont="1" applyFill="1" applyBorder="1" applyAlignment="1">
      <alignment horizontal="center" vertical="center" wrapText="1"/>
    </xf>
    <xf numFmtId="166" fontId="13" fillId="3" borderId="9" xfId="3" applyNumberFormat="1" applyFont="1" applyFill="1" applyBorder="1" applyAlignment="1">
      <alignment horizontal="center" vertical="center" wrapText="1"/>
    </xf>
    <xf numFmtId="166" fontId="3" fillId="3" borderId="3" xfId="0" applyNumberFormat="1" applyFont="1" applyFill="1" applyBorder="1" applyAlignment="1">
      <alignment horizontal="center" vertical="center" wrapText="1"/>
    </xf>
    <xf numFmtId="166" fontId="3" fillId="3" borderId="9" xfId="0" applyNumberFormat="1" applyFont="1" applyFill="1" applyBorder="1" applyAlignment="1">
      <alignment horizontal="center" vertical="center" wrapText="1"/>
    </xf>
    <xf numFmtId="166" fontId="13" fillId="3" borderId="11" xfId="3" applyNumberFormat="1" applyFont="1" applyFill="1" applyBorder="1" applyAlignment="1">
      <alignment horizontal="center" vertical="center" wrapText="1"/>
    </xf>
    <xf numFmtId="165" fontId="8" fillId="3" borderId="3" xfId="1" applyNumberFormat="1" applyFont="1" applyFill="1" applyBorder="1" applyAlignment="1">
      <alignment horizontal="left" vertical="center" wrapText="1"/>
    </xf>
    <xf numFmtId="165" fontId="8" fillId="3" borderId="9" xfId="1" applyNumberFormat="1" applyFont="1" applyFill="1" applyBorder="1" applyAlignment="1">
      <alignment horizontal="left" vertical="center" wrapText="1"/>
    </xf>
    <xf numFmtId="166" fontId="8" fillId="3" borderId="3" xfId="1" applyNumberFormat="1" applyFont="1" applyFill="1" applyBorder="1" applyAlignment="1">
      <alignment horizontal="center" vertical="center" wrapText="1"/>
    </xf>
    <xf numFmtId="166" fontId="8" fillId="3" borderId="9" xfId="1" applyNumberFormat="1" applyFont="1" applyFill="1" applyBorder="1" applyAlignment="1">
      <alignment horizontal="center" vertical="center" wrapText="1"/>
    </xf>
    <xf numFmtId="0" fontId="6" fillId="0" borderId="0" xfId="0" applyFont="1" applyBorder="1" applyAlignment="1">
      <alignment horizontal="left" vertical="top" wrapText="1"/>
    </xf>
    <xf numFmtId="165" fontId="3" fillId="2" borderId="3" xfId="0" applyNumberFormat="1" applyFont="1" applyFill="1" applyBorder="1" applyAlignment="1">
      <alignment horizontal="center" vertical="center" wrapText="1"/>
    </xf>
    <xf numFmtId="165" fontId="3" fillId="2" borderId="9" xfId="0" applyNumberFormat="1" applyFont="1" applyFill="1" applyBorder="1" applyAlignment="1">
      <alignment horizontal="center" vertical="center" wrapText="1"/>
    </xf>
    <xf numFmtId="165" fontId="3" fillId="0" borderId="3" xfId="2" applyNumberFormat="1" applyFont="1" applyBorder="1" applyAlignment="1">
      <alignment horizontal="center" vertical="center" wrapText="1"/>
    </xf>
    <xf numFmtId="165" fontId="3" fillId="0" borderId="9" xfId="2" applyNumberFormat="1" applyFont="1" applyBorder="1" applyAlignment="1">
      <alignment horizontal="center" vertical="center" wrapText="1"/>
    </xf>
    <xf numFmtId="165" fontId="8" fillId="0" borderId="3" xfId="0" applyNumberFormat="1" applyFont="1" applyFill="1" applyBorder="1" applyAlignment="1">
      <alignment horizontal="center" vertical="center" wrapText="1"/>
    </xf>
    <xf numFmtId="165" fontId="8" fillId="0" borderId="11" xfId="0" applyNumberFormat="1" applyFont="1" applyFill="1" applyBorder="1" applyAlignment="1">
      <alignment horizontal="center" vertical="center" wrapText="1"/>
    </xf>
    <xf numFmtId="165" fontId="8" fillId="0" borderId="15" xfId="0" applyNumberFormat="1" applyFont="1" applyFill="1" applyBorder="1" applyAlignment="1">
      <alignment horizontal="center" vertical="center" wrapText="1"/>
    </xf>
    <xf numFmtId="165" fontId="3" fillId="0" borderId="4" xfId="0" applyNumberFormat="1" applyFont="1" applyBorder="1" applyAlignment="1">
      <alignment horizontal="center" vertical="center" wrapText="1"/>
    </xf>
    <xf numFmtId="165" fontId="3" fillId="0" borderId="6" xfId="0" applyNumberFormat="1" applyFont="1" applyBorder="1" applyAlignment="1">
      <alignment horizontal="center" vertical="center" wrapText="1"/>
    </xf>
    <xf numFmtId="165" fontId="3" fillId="3" borderId="16" xfId="1" applyNumberFormat="1" applyFont="1" applyFill="1" applyBorder="1" applyAlignment="1">
      <alignment horizontal="center" wrapText="1"/>
    </xf>
    <xf numFmtId="165" fontId="3" fillId="3" borderId="39" xfId="1" applyNumberFormat="1" applyFont="1" applyFill="1" applyBorder="1" applyAlignment="1">
      <alignment horizontal="center" wrapText="1"/>
    </xf>
    <xf numFmtId="165" fontId="3" fillId="3" borderId="17" xfId="1" applyNumberFormat="1" applyFont="1" applyFill="1" applyBorder="1" applyAlignment="1">
      <alignment horizontal="center" wrapText="1"/>
    </xf>
    <xf numFmtId="165" fontId="3" fillId="0" borderId="1" xfId="0" applyNumberFormat="1" applyFont="1" applyBorder="1" applyAlignment="1">
      <alignment horizontal="center" vertical="center" wrapText="1"/>
    </xf>
    <xf numFmtId="165" fontId="3" fillId="0" borderId="20" xfId="0" applyNumberFormat="1" applyFont="1" applyBorder="1" applyAlignment="1">
      <alignment horizontal="center" vertical="center" wrapText="1"/>
    </xf>
    <xf numFmtId="165" fontId="3" fillId="0" borderId="2" xfId="0" applyNumberFormat="1" applyFont="1" applyBorder="1" applyAlignment="1">
      <alignment horizontal="center" vertical="center" wrapText="1"/>
    </xf>
    <xf numFmtId="165" fontId="3" fillId="0" borderId="7" xfId="0" applyNumberFormat="1" applyFont="1" applyBorder="1" applyAlignment="1">
      <alignment horizontal="center" vertical="center" wrapText="1"/>
    </xf>
    <xf numFmtId="165" fontId="3" fillId="0" borderId="0" xfId="0" applyNumberFormat="1" applyFont="1" applyBorder="1" applyAlignment="1">
      <alignment horizontal="center" vertical="center" wrapText="1"/>
    </xf>
    <xf numFmtId="165" fontId="3" fillId="0" borderId="8" xfId="0" applyNumberFormat="1" applyFont="1" applyBorder="1" applyAlignment="1">
      <alignment horizontal="center" vertical="center" wrapText="1"/>
    </xf>
    <xf numFmtId="165" fontId="3" fillId="0" borderId="3" xfId="0" applyNumberFormat="1" applyFont="1" applyBorder="1" applyAlignment="1">
      <alignment horizontal="center" vertical="center" wrapText="1"/>
    </xf>
    <xf numFmtId="165" fontId="3" fillId="0" borderId="11" xfId="0" applyNumberFormat="1" applyFont="1" applyBorder="1" applyAlignment="1">
      <alignment horizontal="center" vertical="center" wrapText="1"/>
    </xf>
    <xf numFmtId="165" fontId="3" fillId="0" borderId="15" xfId="0" applyNumberFormat="1" applyFont="1" applyBorder="1" applyAlignment="1">
      <alignment horizontal="center" vertical="center" wrapText="1"/>
    </xf>
    <xf numFmtId="166" fontId="14" fillId="3" borderId="11" xfId="1" applyNumberFormat="1" applyFont="1" applyFill="1" applyBorder="1" applyAlignment="1">
      <alignment horizontal="center" vertical="center" wrapText="1"/>
    </xf>
    <xf numFmtId="166" fontId="3" fillId="3" borderId="11" xfId="0" applyNumberFormat="1" applyFont="1" applyFill="1" applyBorder="1" applyAlignment="1">
      <alignment horizontal="center" vertical="center" wrapText="1"/>
    </xf>
    <xf numFmtId="166" fontId="8" fillId="3" borderId="11" xfId="1" applyNumberFormat="1" applyFont="1" applyFill="1" applyBorder="1" applyAlignment="1">
      <alignment horizontal="center" vertical="center" wrapText="1"/>
    </xf>
    <xf numFmtId="165" fontId="8" fillId="3" borderId="3" xfId="1" applyNumberFormat="1" applyFont="1" applyFill="1" applyBorder="1" applyAlignment="1">
      <alignment horizontal="left" vertical="top" wrapText="1"/>
    </xf>
    <xf numFmtId="165" fontId="8" fillId="3" borderId="9" xfId="1" applyNumberFormat="1" applyFont="1" applyFill="1" applyBorder="1" applyAlignment="1">
      <alignment horizontal="left" vertical="top" wrapText="1"/>
    </xf>
    <xf numFmtId="165" fontId="3" fillId="0" borderId="18" xfId="0" applyNumberFormat="1" applyFont="1" applyBorder="1" applyAlignment="1">
      <alignment horizontal="center" vertical="center" wrapText="1"/>
    </xf>
    <xf numFmtId="165" fontId="3" fillId="0" borderId="19" xfId="0" applyNumberFormat="1" applyFont="1" applyBorder="1" applyAlignment="1">
      <alignment horizontal="center" vertical="center" wrapText="1"/>
    </xf>
    <xf numFmtId="165" fontId="1" fillId="0" borderId="41" xfId="1" applyNumberFormat="1" applyFont="1" applyBorder="1" applyAlignment="1">
      <alignment horizontal="center" vertical="center" wrapText="1"/>
    </xf>
    <xf numFmtId="165" fontId="1" fillId="0" borderId="42" xfId="1" applyNumberFormat="1" applyFont="1" applyBorder="1" applyAlignment="1">
      <alignment horizontal="center" vertical="center" wrapText="1"/>
    </xf>
    <xf numFmtId="167" fontId="14" fillId="3" borderId="3" xfId="1" applyNumberFormat="1" applyFont="1" applyFill="1" applyBorder="1" applyAlignment="1">
      <alignment horizontal="center" vertical="center" wrapText="1"/>
    </xf>
    <xf numFmtId="167" fontId="14" fillId="3" borderId="11" xfId="1" applyNumberFormat="1" applyFont="1" applyFill="1" applyBorder="1" applyAlignment="1">
      <alignment horizontal="center" vertical="center" wrapText="1"/>
    </xf>
    <xf numFmtId="167" fontId="14" fillId="3" borderId="9" xfId="1" applyNumberFormat="1" applyFont="1" applyFill="1" applyBorder="1" applyAlignment="1">
      <alignment horizontal="center" vertical="center" wrapText="1"/>
    </xf>
    <xf numFmtId="167" fontId="13" fillId="4" borderId="3" xfId="3" applyNumberFormat="1" applyFont="1" applyFill="1" applyBorder="1" applyAlignment="1">
      <alignment horizontal="center" vertical="center" wrapText="1"/>
    </xf>
    <xf numFmtId="167" fontId="13" fillId="4" borderId="11" xfId="3" applyNumberFormat="1" applyFont="1" applyFill="1" applyBorder="1" applyAlignment="1">
      <alignment horizontal="center" vertical="center" wrapText="1"/>
    </xf>
    <xf numFmtId="167" fontId="13" fillId="4" borderId="9" xfId="3" applyNumberFormat="1" applyFont="1" applyFill="1" applyBorder="1" applyAlignment="1">
      <alignment horizontal="center" vertical="center" wrapText="1"/>
    </xf>
    <xf numFmtId="165" fontId="3" fillId="3" borderId="3" xfId="1" applyNumberFormat="1" applyFill="1" applyBorder="1" applyAlignment="1">
      <alignment horizontal="center" vertical="center" wrapText="1"/>
    </xf>
    <xf numFmtId="165" fontId="3" fillId="3" borderId="11" xfId="1" applyNumberFormat="1" applyFill="1" applyBorder="1" applyAlignment="1">
      <alignment horizontal="center" vertical="center" wrapText="1"/>
    </xf>
    <xf numFmtId="165" fontId="3" fillId="3" borderId="9" xfId="1" applyNumberFormat="1" applyFill="1" applyBorder="1" applyAlignment="1">
      <alignment horizontal="center" vertical="center" wrapText="1"/>
    </xf>
    <xf numFmtId="165" fontId="8" fillId="3" borderId="11" xfId="1" applyNumberFormat="1" applyFont="1" applyFill="1" applyBorder="1" applyAlignment="1">
      <alignment horizontal="left" vertical="top" wrapText="1"/>
    </xf>
    <xf numFmtId="9" fontId="13" fillId="3" borderId="3" xfId="3" applyNumberFormat="1" applyFont="1" applyFill="1" applyBorder="1" applyAlignment="1">
      <alignment horizontal="center" vertical="center" wrapText="1"/>
    </xf>
    <xf numFmtId="9" fontId="13" fillId="3" borderId="11" xfId="3" applyNumberFormat="1" applyFont="1" applyFill="1" applyBorder="1" applyAlignment="1">
      <alignment horizontal="center" vertical="center" wrapText="1"/>
    </xf>
    <xf numFmtId="9" fontId="13" fillId="3" borderId="9" xfId="3" applyNumberFormat="1" applyFont="1" applyFill="1" applyBorder="1" applyAlignment="1">
      <alignment horizontal="center" vertical="center" wrapText="1"/>
    </xf>
    <xf numFmtId="165" fontId="3" fillId="3" borderId="3" xfId="1" applyNumberFormat="1" applyFont="1" applyFill="1" applyBorder="1" applyAlignment="1">
      <alignment horizontal="left" vertical="center" wrapText="1"/>
    </xf>
    <xf numFmtId="165" fontId="3" fillId="3" borderId="9" xfId="1" applyNumberFormat="1" applyFont="1" applyFill="1" applyBorder="1" applyAlignment="1">
      <alignment horizontal="left" vertical="center" wrapText="1"/>
    </xf>
    <xf numFmtId="165" fontId="3" fillId="3" borderId="3" xfId="1" applyNumberFormat="1" applyFont="1" applyFill="1" applyBorder="1" applyAlignment="1">
      <alignment vertical="center" wrapText="1"/>
    </xf>
    <xf numFmtId="165" fontId="3" fillId="3" borderId="11" xfId="1" applyNumberFormat="1" applyFont="1" applyFill="1" applyBorder="1" applyAlignment="1">
      <alignment vertical="center" wrapText="1"/>
    </xf>
    <xf numFmtId="171" fontId="8" fillId="3" borderId="3" xfId="1" applyNumberFormat="1" applyFont="1" applyFill="1" applyBorder="1" applyAlignment="1">
      <alignment horizontal="center" vertical="center" wrapText="1"/>
    </xf>
    <xf numFmtId="171" fontId="8" fillId="3" borderId="9" xfId="1" applyNumberFormat="1" applyFont="1" applyFill="1" applyBorder="1" applyAlignment="1">
      <alignment horizontal="center" vertical="center" wrapText="1"/>
    </xf>
    <xf numFmtId="165" fontId="11" fillId="3" borderId="18" xfId="3" applyNumberFormat="1" applyFont="1" applyFill="1" applyBorder="1" applyAlignment="1">
      <alignment horizontal="center" vertical="center" wrapText="1"/>
    </xf>
    <xf numFmtId="165" fontId="11" fillId="3" borderId="40" xfId="3" applyNumberFormat="1" applyFont="1" applyFill="1" applyBorder="1" applyAlignment="1">
      <alignment horizontal="center" vertical="center" wrapText="1"/>
    </xf>
    <xf numFmtId="165" fontId="11" fillId="3" borderId="19" xfId="3" applyNumberFormat="1" applyFont="1" applyFill="1" applyBorder="1" applyAlignment="1">
      <alignment horizontal="center" vertical="center" wrapText="1"/>
    </xf>
    <xf numFmtId="165" fontId="3" fillId="3" borderId="1" xfId="1" applyNumberFormat="1" applyFill="1" applyBorder="1" applyAlignment="1">
      <alignment horizontal="center" vertical="center" wrapText="1"/>
    </xf>
    <xf numFmtId="165" fontId="3" fillId="3" borderId="20" xfId="1" applyNumberFormat="1" applyFill="1" applyBorder="1" applyAlignment="1">
      <alignment horizontal="center" vertical="center" wrapText="1"/>
    </xf>
    <xf numFmtId="165" fontId="3" fillId="3" borderId="2" xfId="1" applyNumberFormat="1" applyFill="1" applyBorder="1" applyAlignment="1">
      <alignment horizontal="center" vertical="center" wrapText="1"/>
    </xf>
    <xf numFmtId="165" fontId="11" fillId="3" borderId="7" xfId="3" applyNumberFormat="1" applyFont="1" applyFill="1" applyBorder="1" applyAlignment="1">
      <alignment horizontal="center" vertical="center" wrapText="1"/>
    </xf>
    <xf numFmtId="165" fontId="11" fillId="3" borderId="0" xfId="3" applyNumberFormat="1" applyFont="1" applyFill="1" applyBorder="1" applyAlignment="1">
      <alignment horizontal="center" vertical="center" wrapText="1"/>
    </xf>
    <xf numFmtId="165" fontId="11" fillId="3" borderId="8" xfId="3" applyNumberFormat="1" applyFont="1" applyFill="1" applyBorder="1" applyAlignment="1">
      <alignment horizontal="center" vertical="center" wrapText="1"/>
    </xf>
    <xf numFmtId="166" fontId="14" fillId="3" borderId="3" xfId="3" applyNumberFormat="1" applyFont="1" applyFill="1" applyBorder="1" applyAlignment="1">
      <alignment horizontal="center" vertical="center" wrapText="1"/>
    </xf>
    <xf numFmtId="166" fontId="14" fillId="3" borderId="11" xfId="3" applyNumberFormat="1" applyFont="1" applyFill="1" applyBorder="1" applyAlignment="1">
      <alignment horizontal="center" vertical="center" wrapText="1"/>
    </xf>
    <xf numFmtId="166" fontId="14" fillId="3" borderId="9" xfId="3" applyNumberFormat="1" applyFont="1" applyFill="1" applyBorder="1" applyAlignment="1">
      <alignment horizontal="center" vertical="center" wrapText="1"/>
    </xf>
    <xf numFmtId="166" fontId="3" fillId="3" borderId="3" xfId="1" applyNumberFormat="1" applyFill="1" applyBorder="1" applyAlignment="1">
      <alignment horizontal="center" vertical="center" wrapText="1"/>
    </xf>
    <xf numFmtId="166" fontId="3" fillId="3" borderId="11" xfId="1" applyNumberFormat="1" applyFill="1" applyBorder="1" applyAlignment="1">
      <alignment horizontal="center" vertical="center" wrapText="1"/>
    </xf>
    <xf numFmtId="166" fontId="3" fillId="3" borderId="9" xfId="1" applyNumberFormat="1" applyFill="1" applyBorder="1" applyAlignment="1">
      <alignment horizontal="center" vertical="center" wrapText="1"/>
    </xf>
    <xf numFmtId="165" fontId="13" fillId="3" borderId="3" xfId="3" applyNumberFormat="1" applyFont="1" applyFill="1" applyBorder="1" applyAlignment="1">
      <alignment horizontal="center" vertical="center" wrapText="1"/>
    </xf>
    <xf numFmtId="165" fontId="13" fillId="3" borderId="11" xfId="3" applyNumberFormat="1" applyFont="1" applyFill="1" applyBorder="1" applyAlignment="1">
      <alignment horizontal="center" vertical="center" wrapText="1"/>
    </xf>
    <xf numFmtId="165" fontId="13" fillId="3" borderId="9" xfId="3" applyNumberFormat="1" applyFont="1" applyFill="1" applyBorder="1" applyAlignment="1">
      <alignment horizontal="center" vertical="center" wrapText="1"/>
    </xf>
    <xf numFmtId="166" fontId="13" fillId="4" borderId="3" xfId="3" applyNumberFormat="1" applyFont="1" applyFill="1" applyBorder="1" applyAlignment="1">
      <alignment horizontal="center" vertical="center" wrapText="1"/>
    </xf>
    <xf numFmtId="166" fontId="13" fillId="4" borderId="11" xfId="3" applyNumberFormat="1" applyFont="1" applyFill="1" applyBorder="1" applyAlignment="1">
      <alignment horizontal="center" vertical="center" wrapText="1"/>
    </xf>
    <xf numFmtId="166" fontId="13" fillId="4" borderId="9" xfId="3" applyNumberFormat="1" applyFont="1" applyFill="1" applyBorder="1" applyAlignment="1">
      <alignment horizontal="center" vertical="center" wrapText="1"/>
    </xf>
    <xf numFmtId="166" fontId="3" fillId="4" borderId="3" xfId="1" applyNumberFormat="1" applyFill="1" applyBorder="1" applyAlignment="1">
      <alignment horizontal="center" vertical="center" wrapText="1"/>
    </xf>
    <xf numFmtId="166" fontId="3" fillId="4" borderId="11" xfId="1" applyNumberFormat="1" applyFill="1" applyBorder="1" applyAlignment="1">
      <alignment horizontal="center" vertical="center" wrapText="1"/>
    </xf>
    <xf numFmtId="166" fontId="3" fillId="4" borderId="9" xfId="1" applyNumberFormat="1" applyFill="1" applyBorder="1" applyAlignment="1">
      <alignment horizontal="center" vertical="center" wrapText="1"/>
    </xf>
    <xf numFmtId="165" fontId="3" fillId="3" borderId="9" xfId="1" applyNumberFormat="1" applyFont="1" applyFill="1" applyBorder="1" applyAlignment="1">
      <alignment vertical="center" wrapText="1"/>
    </xf>
    <xf numFmtId="0" fontId="16" fillId="0" borderId="20" xfId="0" applyFont="1" applyBorder="1" applyAlignment="1">
      <alignment vertical="top" wrapText="1"/>
    </xf>
    <xf numFmtId="0" fontId="15" fillId="0" borderId="20" xfId="0" applyFont="1" applyBorder="1" applyAlignment="1">
      <alignment vertical="top" wrapText="1"/>
    </xf>
    <xf numFmtId="0" fontId="15" fillId="0" borderId="0" xfId="0" applyFont="1" applyBorder="1" applyAlignment="1">
      <alignment vertical="top" wrapText="1"/>
    </xf>
    <xf numFmtId="166" fontId="37" fillId="3" borderId="3" xfId="3" applyNumberFormat="1" applyFont="1" applyFill="1" applyBorder="1" applyAlignment="1">
      <alignment horizontal="center" vertical="center" wrapText="1"/>
    </xf>
    <xf numFmtId="166" fontId="37" fillId="3" borderId="9" xfId="3" applyNumberFormat="1" applyFont="1" applyFill="1" applyBorder="1" applyAlignment="1">
      <alignment horizontal="center" vertical="center" wrapText="1"/>
    </xf>
    <xf numFmtId="165" fontId="3" fillId="3" borderId="4" xfId="1" applyNumberFormat="1" applyFont="1" applyFill="1" applyBorder="1" applyAlignment="1">
      <alignment horizontal="left" vertical="center" wrapText="1"/>
    </xf>
    <xf numFmtId="165" fontId="3" fillId="3" borderId="5" xfId="1" applyNumberFormat="1" applyFont="1" applyFill="1" applyBorder="1" applyAlignment="1">
      <alignment horizontal="left" vertical="center" wrapText="1"/>
    </xf>
    <xf numFmtId="165" fontId="3" fillId="3" borderId="6" xfId="1" applyNumberFormat="1" applyFont="1" applyFill="1" applyBorder="1" applyAlignment="1">
      <alignment horizontal="left" vertical="center" wrapText="1"/>
    </xf>
    <xf numFmtId="165" fontId="38" fillId="3" borderId="3" xfId="3" applyNumberFormat="1" applyFont="1" applyFill="1" applyBorder="1" applyAlignment="1">
      <alignment horizontal="center" vertical="center" wrapText="1"/>
    </xf>
    <xf numFmtId="165" fontId="38" fillId="3" borderId="11" xfId="3" applyNumberFormat="1" applyFont="1" applyFill="1" applyBorder="1" applyAlignment="1">
      <alignment horizontal="center" vertical="center" wrapText="1"/>
    </xf>
    <xf numFmtId="165" fontId="38" fillId="3" borderId="9" xfId="3" applyNumberFormat="1" applyFont="1" applyFill="1" applyBorder="1" applyAlignment="1">
      <alignment horizontal="center" vertical="center" wrapText="1"/>
    </xf>
    <xf numFmtId="165" fontId="3" fillId="3" borderId="1" xfId="1" applyNumberFormat="1" applyFill="1" applyBorder="1" applyAlignment="1">
      <alignment horizontal="left" vertical="center" wrapText="1"/>
    </xf>
    <xf numFmtId="165" fontId="3" fillId="3" borderId="2" xfId="1" applyNumberFormat="1" applyFill="1" applyBorder="1" applyAlignment="1">
      <alignment horizontal="left" vertical="center" wrapText="1"/>
    </xf>
    <xf numFmtId="0" fontId="10" fillId="3" borderId="3" xfId="3" applyFill="1" applyBorder="1" applyAlignment="1">
      <alignment horizontal="left" vertical="center" wrapText="1"/>
    </xf>
    <xf numFmtId="0" fontId="10" fillId="3" borderId="9" xfId="3" applyFill="1" applyBorder="1" applyAlignment="1">
      <alignment horizontal="left" vertical="center" wrapText="1"/>
    </xf>
    <xf numFmtId="0" fontId="0" fillId="3" borderId="3" xfId="0" applyFill="1" applyBorder="1" applyAlignment="1">
      <alignment horizontal="center" vertical="center" wrapText="1"/>
    </xf>
    <xf numFmtId="0" fontId="0" fillId="3" borderId="9" xfId="0" applyFill="1" applyBorder="1" applyAlignment="1">
      <alignment horizontal="center" vertical="center" wrapText="1"/>
    </xf>
    <xf numFmtId="14" fontId="0" fillId="3" borderId="3" xfId="0" applyNumberFormat="1" applyFill="1" applyBorder="1" applyAlignment="1">
      <alignment horizontal="center" vertical="center" wrapText="1"/>
    </xf>
    <xf numFmtId="14" fontId="0" fillId="3" borderId="9" xfId="0" applyNumberFormat="1" applyFill="1" applyBorder="1" applyAlignment="1">
      <alignment horizontal="center" vertical="center" wrapText="1"/>
    </xf>
    <xf numFmtId="0" fontId="34" fillId="3" borderId="36" xfId="0" applyFont="1" applyFill="1" applyBorder="1" applyAlignment="1">
      <alignment horizontal="left" vertical="center" wrapText="1"/>
    </xf>
    <xf numFmtId="0" fontId="34" fillId="3" borderId="37" xfId="0" applyFont="1" applyFill="1" applyBorder="1" applyAlignment="1">
      <alignment horizontal="left" vertical="center" wrapText="1"/>
    </xf>
    <xf numFmtId="165" fontId="10" fillId="3" borderId="18" xfId="3" applyNumberFormat="1" applyFill="1" applyBorder="1" applyAlignment="1">
      <alignment horizontal="left" vertical="center" wrapText="1"/>
    </xf>
    <xf numFmtId="165" fontId="10" fillId="3" borderId="19" xfId="3" applyNumberFormat="1" applyFill="1" applyBorder="1" applyAlignment="1">
      <alignment horizontal="left" vertical="center" wrapText="1"/>
    </xf>
    <xf numFmtId="0" fontId="0" fillId="3" borderId="36" xfId="0" applyFont="1" applyFill="1" applyBorder="1" applyAlignment="1">
      <alignment horizontal="left" vertical="center" wrapText="1"/>
    </xf>
    <xf numFmtId="0" fontId="0" fillId="3" borderId="37" xfId="0" applyFont="1" applyFill="1" applyBorder="1" applyAlignment="1">
      <alignment horizontal="left" vertical="center" wrapText="1"/>
    </xf>
    <xf numFmtId="165" fontId="10" fillId="3" borderId="18" xfId="3" applyNumberFormat="1" applyFont="1" applyFill="1" applyBorder="1" applyAlignment="1">
      <alignment horizontal="left" vertical="center" wrapText="1"/>
    </xf>
    <xf numFmtId="165" fontId="10" fillId="3" borderId="19" xfId="3" applyNumberFormat="1" applyFont="1" applyFill="1" applyBorder="1" applyAlignment="1">
      <alignment horizontal="left" vertical="center" wrapText="1"/>
    </xf>
    <xf numFmtId="0" fontId="10" fillId="3" borderId="0" xfId="3" applyFill="1" applyAlignment="1">
      <alignment horizontal="left" vertical="center" wrapText="1"/>
    </xf>
    <xf numFmtId="0" fontId="0" fillId="3" borderId="3" xfId="0" applyFill="1" applyBorder="1" applyAlignment="1">
      <alignment horizontal="left" vertical="center" wrapText="1"/>
    </xf>
    <xf numFmtId="0" fontId="0" fillId="3" borderId="9" xfId="0" applyFill="1" applyBorder="1" applyAlignment="1">
      <alignment horizontal="left" vertical="center" wrapText="1"/>
    </xf>
    <xf numFmtId="0" fontId="10" fillId="3" borderId="36" xfId="3" applyFill="1" applyBorder="1" applyAlignment="1">
      <alignment horizontal="left" vertical="center" wrapText="1"/>
    </xf>
    <xf numFmtId="0" fontId="10" fillId="3" borderId="37" xfId="3" applyFill="1" applyBorder="1" applyAlignment="1">
      <alignment horizontal="left" vertical="center" wrapText="1"/>
    </xf>
    <xf numFmtId="0" fontId="0" fillId="4" borderId="36" xfId="0" applyFill="1" applyBorder="1" applyAlignment="1">
      <alignment horizontal="left" vertical="center" wrapText="1"/>
    </xf>
    <xf numFmtId="0" fontId="0" fillId="4" borderId="37" xfId="0" applyFill="1" applyBorder="1" applyAlignment="1">
      <alignment horizontal="left" vertical="center" wrapText="1"/>
    </xf>
    <xf numFmtId="165" fontId="10" fillId="4" borderId="18" xfId="3" applyNumberFormat="1" applyFill="1" applyBorder="1" applyAlignment="1">
      <alignment horizontal="left" vertical="center" wrapText="1"/>
    </xf>
    <xf numFmtId="165" fontId="10" fillId="4" borderId="19" xfId="3" applyNumberFormat="1" applyFill="1" applyBorder="1" applyAlignment="1">
      <alignment horizontal="left" vertical="center" wrapText="1"/>
    </xf>
    <xf numFmtId="165" fontId="3" fillId="4" borderId="1" xfId="1" applyNumberFormat="1" applyFill="1" applyBorder="1" applyAlignment="1">
      <alignment horizontal="left" vertical="center" wrapText="1"/>
    </xf>
    <xf numFmtId="165" fontId="3" fillId="4" borderId="2" xfId="1" applyNumberFormat="1" applyFill="1" applyBorder="1" applyAlignment="1">
      <alignment horizontal="left" vertical="center" wrapText="1"/>
    </xf>
    <xf numFmtId="0" fontId="10" fillId="4" borderId="3" xfId="3" applyFill="1" applyBorder="1" applyAlignment="1">
      <alignment horizontal="left" vertical="center" wrapText="1"/>
    </xf>
    <xf numFmtId="0" fontId="10" fillId="4" borderId="9" xfId="3" applyFill="1" applyBorder="1" applyAlignment="1">
      <alignment horizontal="left" vertical="center" wrapText="1"/>
    </xf>
    <xf numFmtId="14" fontId="0" fillId="4" borderId="3" xfId="0" applyNumberFormat="1" applyFill="1" applyBorder="1" applyAlignment="1">
      <alignment horizontal="center" vertical="center" wrapText="1"/>
    </xf>
    <xf numFmtId="14" fontId="0" fillId="4" borderId="9" xfId="0" applyNumberFormat="1" applyFill="1" applyBorder="1" applyAlignment="1">
      <alignment horizontal="center" vertical="center" wrapText="1"/>
    </xf>
    <xf numFmtId="0" fontId="0" fillId="4" borderId="3" xfId="0" applyFill="1" applyBorder="1" applyAlignment="1">
      <alignment horizontal="center" vertical="center" wrapText="1"/>
    </xf>
    <xf numFmtId="0" fontId="0" fillId="4" borderId="9" xfId="0" applyFill="1" applyBorder="1" applyAlignment="1">
      <alignment horizontal="center" vertical="center" wrapText="1"/>
    </xf>
    <xf numFmtId="0" fontId="0" fillId="3" borderId="0" xfId="0" applyFill="1" applyAlignment="1">
      <alignment horizontal="left" vertical="top" wrapText="1"/>
    </xf>
    <xf numFmtId="165" fontId="10" fillId="4" borderId="18" xfId="3" applyNumberFormat="1" applyFill="1" applyBorder="1" applyAlignment="1">
      <alignment horizontal="left" vertical="top" wrapText="1"/>
    </xf>
    <xf numFmtId="165" fontId="10" fillId="4" borderId="19" xfId="3" applyNumberFormat="1" applyFill="1" applyBorder="1" applyAlignment="1">
      <alignment horizontal="left" vertical="top" wrapText="1"/>
    </xf>
    <xf numFmtId="165" fontId="3" fillId="0" borderId="31" xfId="0" applyNumberFormat="1" applyFont="1" applyBorder="1" applyAlignment="1">
      <alignment horizontal="left" wrapText="1"/>
    </xf>
    <xf numFmtId="165" fontId="3" fillId="0" borderId="17" xfId="0" applyNumberFormat="1" applyFont="1" applyBorder="1" applyAlignment="1">
      <alignment horizontal="left"/>
    </xf>
    <xf numFmtId="165" fontId="3" fillId="0" borderId="34" xfId="0" applyNumberFormat="1" applyFont="1" applyBorder="1" applyAlignment="1">
      <alignment horizontal="left"/>
    </xf>
    <xf numFmtId="165" fontId="3" fillId="0" borderId="8" xfId="0" applyNumberFormat="1" applyFont="1" applyBorder="1" applyAlignment="1">
      <alignment horizontal="left"/>
    </xf>
    <xf numFmtId="0" fontId="33" fillId="0" borderId="32" xfId="0" applyFont="1" applyBorder="1" applyAlignment="1">
      <alignment vertical="center" wrapText="1"/>
    </xf>
    <xf numFmtId="0" fontId="33" fillId="0" borderId="10" xfId="0" applyFont="1" applyBorder="1" applyAlignment="1">
      <alignment vertical="center" wrapText="1"/>
    </xf>
    <xf numFmtId="0" fontId="33" fillId="0" borderId="32" xfId="0" applyFont="1" applyBorder="1" applyAlignment="1">
      <alignment horizontal="center" vertical="center" wrapText="1"/>
    </xf>
    <xf numFmtId="0" fontId="33" fillId="0" borderId="10" xfId="0" applyFont="1" applyBorder="1" applyAlignment="1">
      <alignment horizontal="center" vertical="center" wrapText="1"/>
    </xf>
    <xf numFmtId="0" fontId="33" fillId="0" borderId="33" xfId="0" applyFont="1" applyBorder="1" applyAlignment="1">
      <alignment horizontal="center" vertical="center" wrapText="1"/>
    </xf>
    <xf numFmtId="0" fontId="33" fillId="0" borderId="35" xfId="0" applyFont="1" applyBorder="1" applyAlignment="1">
      <alignment horizontal="center" vertical="center" wrapText="1"/>
    </xf>
    <xf numFmtId="165" fontId="3" fillId="4" borderId="38" xfId="1" applyNumberFormat="1" applyFill="1" applyBorder="1" applyAlignment="1">
      <alignment horizontal="left" wrapText="1"/>
    </xf>
    <xf numFmtId="165" fontId="3" fillId="4" borderId="2" xfId="1" applyNumberFormat="1" applyFill="1" applyBorder="1" applyAlignment="1">
      <alignment horizontal="left" wrapText="1"/>
    </xf>
  </cellXfs>
  <cellStyles count="47">
    <cellStyle name="ColLevel_1" xfId="2" builtinId="2" iLevel="0"/>
    <cellStyle name="Comma 2" xfId="4" xr:uid="{00000000-0005-0000-0000-000001000000}"/>
    <cellStyle name="Hyperlink" xfId="3" builtinId="8"/>
    <cellStyle name="Hyperlink 2" xfId="5" xr:uid="{00000000-0005-0000-0000-000003000000}"/>
    <cellStyle name="Hyperlink 3" xfId="6" xr:uid="{00000000-0005-0000-0000-000004000000}"/>
    <cellStyle name="Navadno_K1" xfId="7" xr:uid="{00000000-0005-0000-0000-000005000000}"/>
    <cellStyle name="Normal" xfId="0" builtinId="0"/>
    <cellStyle name="Normal 2" xfId="8" xr:uid="{00000000-0005-0000-0000-000007000000}"/>
    <cellStyle name="Normal 2 2" xfId="9" xr:uid="{00000000-0005-0000-0000-000008000000}"/>
    <cellStyle name="Normal 2 2 2" xfId="10" xr:uid="{00000000-0005-0000-0000-000009000000}"/>
    <cellStyle name="Normal 2 2 3" xfId="11" xr:uid="{00000000-0005-0000-0000-00000A000000}"/>
    <cellStyle name="Normal 2 3" xfId="12" xr:uid="{00000000-0005-0000-0000-00000B000000}"/>
    <cellStyle name="Normal 2 3 2" xfId="13" xr:uid="{00000000-0005-0000-0000-00000C000000}"/>
    <cellStyle name="Normal 2 4" xfId="14" xr:uid="{00000000-0005-0000-0000-00000D000000}"/>
    <cellStyle name="Normal 2 5" xfId="15" xr:uid="{00000000-0005-0000-0000-00000E000000}"/>
    <cellStyle name="Normal 2 5 2" xfId="16" xr:uid="{00000000-0005-0000-0000-00000F000000}"/>
    <cellStyle name="Normal 2 6" xfId="17" xr:uid="{00000000-0005-0000-0000-000010000000}"/>
    <cellStyle name="Normal 2 6 2" xfId="18" xr:uid="{00000000-0005-0000-0000-000011000000}"/>
    <cellStyle name="Normal 3" xfId="19" xr:uid="{00000000-0005-0000-0000-000012000000}"/>
    <cellStyle name="Normal 3 2" xfId="20" xr:uid="{00000000-0005-0000-0000-000013000000}"/>
    <cellStyle name="Normal 3 3" xfId="21" xr:uid="{00000000-0005-0000-0000-000014000000}"/>
    <cellStyle name="Normal 4" xfId="22" xr:uid="{00000000-0005-0000-0000-000015000000}"/>
    <cellStyle name="Normal 5" xfId="23" xr:uid="{00000000-0005-0000-0000-000016000000}"/>
    <cellStyle name="Normal 5 2" xfId="24" xr:uid="{00000000-0005-0000-0000-000017000000}"/>
    <cellStyle name="Percent" xfId="46" builtinId="5"/>
    <cellStyle name="Percent 2" xfId="25" xr:uid="{00000000-0005-0000-0000-000018000000}"/>
    <cellStyle name="Percent 2 2" xfId="26" xr:uid="{00000000-0005-0000-0000-000019000000}"/>
    <cellStyle name="RowLevel_1" xfId="1" builtinId="1" iLevel="0"/>
    <cellStyle name="Style 21" xfId="27" xr:uid="{00000000-0005-0000-0000-00001B000000}"/>
    <cellStyle name="Style 22" xfId="28" xr:uid="{00000000-0005-0000-0000-00001C000000}"/>
    <cellStyle name="Style 23" xfId="29" xr:uid="{00000000-0005-0000-0000-00001D000000}"/>
    <cellStyle name="Style 24" xfId="30" xr:uid="{00000000-0005-0000-0000-00001E000000}"/>
    <cellStyle name="Style 25" xfId="31" xr:uid="{00000000-0005-0000-0000-00001F000000}"/>
    <cellStyle name="Style 26" xfId="32" xr:uid="{00000000-0005-0000-0000-000020000000}"/>
    <cellStyle name="Style 27" xfId="33" xr:uid="{00000000-0005-0000-0000-000021000000}"/>
    <cellStyle name="Style 28" xfId="34" xr:uid="{00000000-0005-0000-0000-000022000000}"/>
    <cellStyle name="Style 29" xfId="35" xr:uid="{00000000-0005-0000-0000-000023000000}"/>
    <cellStyle name="Style 30" xfId="36" xr:uid="{00000000-0005-0000-0000-000024000000}"/>
    <cellStyle name="Style 31" xfId="37" xr:uid="{00000000-0005-0000-0000-000025000000}"/>
    <cellStyle name="Style 32" xfId="38" xr:uid="{00000000-0005-0000-0000-000026000000}"/>
    <cellStyle name="Style 33" xfId="39" xr:uid="{00000000-0005-0000-0000-000027000000}"/>
    <cellStyle name="Style 34" xfId="40" xr:uid="{00000000-0005-0000-0000-000028000000}"/>
    <cellStyle name="Style 35" xfId="41" xr:uid="{00000000-0005-0000-0000-000029000000}"/>
    <cellStyle name="Style 36" xfId="42" xr:uid="{00000000-0005-0000-0000-00002A000000}"/>
    <cellStyle name="Style 37" xfId="43" xr:uid="{00000000-0005-0000-0000-00002B000000}"/>
    <cellStyle name="Style 38" xfId="44" xr:uid="{00000000-0005-0000-0000-00002C000000}"/>
    <cellStyle name="Style 39" xfId="45" xr:uid="{00000000-0005-0000-0000-00002D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nbb.be/en/financial-oversight/macroprudential-supervision/macroprudential-instruments/real-estate" TargetMode="External"/><Relationship Id="rId21" Type="http://schemas.openxmlformats.org/officeDocument/2006/relationships/hyperlink" Target="http://www.cssf.lu/fileadmin/files/Lois_reglements/Legislation/RG_CSSF/RCSSF_No14-01eng.pdf" TargetMode="External"/><Relationship Id="rId42" Type="http://schemas.openxmlformats.org/officeDocument/2006/relationships/hyperlink" Target="https://www.fma-li.li/en/supervision/financial-stability-and-macroprudential-supervision/macroprudential-instruments/countercyclical-capital-buffer.html" TargetMode="External"/><Relationship Id="rId63" Type="http://schemas.openxmlformats.org/officeDocument/2006/relationships/hyperlink" Target="http://www.fin-fsa.fi/en/pages/default.aspx" TargetMode="External"/><Relationship Id="rId84" Type="http://schemas.openxmlformats.org/officeDocument/2006/relationships/hyperlink" Target="https://www.eestipank.ee/en/financial-stability/countercyclical-capital-buffer" TargetMode="External"/><Relationship Id="rId138" Type="http://schemas.openxmlformats.org/officeDocument/2006/relationships/hyperlink" Target="http://www.bankofgreece.gr/Pages/el/Bank/LegalF/committeeacts.aspx" TargetMode="External"/><Relationship Id="rId159" Type="http://schemas.openxmlformats.org/officeDocument/2006/relationships/hyperlink" Target="https://www.bde.es/bde/en/areas/estabilidad/herramientas-macroprudenciales/identificacion__bbe79f06544b261.html" TargetMode="External"/><Relationship Id="rId170" Type="http://schemas.openxmlformats.org/officeDocument/2006/relationships/hyperlink" Target="https://www.bafin.de/SharedDocs/Veroeffentlichungen/EN/Meldung/2025/meldung_2025_04_30_BaFin_senkt_Systemrisikopuffer_en.html" TargetMode="External"/><Relationship Id="rId107" Type="http://schemas.openxmlformats.org/officeDocument/2006/relationships/hyperlink" Target="http://www.nbs.sk/en/financial-market-supervision1/macroprudential-policy/current-status-of-macroprudential-instruments/current-setting-of-capital-buffers-in-slovakia" TargetMode="External"/><Relationship Id="rId11" Type="http://schemas.openxmlformats.org/officeDocument/2006/relationships/hyperlink" Target="https://www.bancaditalia.it/compiti/vigilanza/normativa/archivio-norme/circolari/c285/Circ_285_19_Aggto_Testo_integrale.pdf" TargetMode="External"/><Relationship Id="rId32" Type="http://schemas.openxmlformats.org/officeDocument/2006/relationships/hyperlink" Target="http://www.bde.es/bde/en/" TargetMode="External"/><Relationship Id="rId53" Type="http://schemas.openxmlformats.org/officeDocument/2006/relationships/hyperlink" Target="https://www.fma.gv.at/en/" TargetMode="External"/><Relationship Id="rId74" Type="http://schemas.openxmlformats.org/officeDocument/2006/relationships/hyperlink" Target="http://www.bnr.ro/Home.aspx" TargetMode="External"/><Relationship Id="rId128" Type="http://schemas.openxmlformats.org/officeDocument/2006/relationships/hyperlink" Target="https://www.bsi.si/en/media/2167/banka-slovenije-is-changing-over-to-more-active-macroprudential-policy" TargetMode="External"/><Relationship Id="rId149" Type="http://schemas.openxmlformats.org/officeDocument/2006/relationships/hyperlink" Target="https://www.centralbankmalta.org/systemically-important-institutions" TargetMode="External"/><Relationship Id="rId5" Type="http://schemas.openxmlformats.org/officeDocument/2006/relationships/hyperlink" Target="http://www.fi.se/en/" TargetMode="External"/><Relationship Id="rId95" Type="http://schemas.openxmlformats.org/officeDocument/2006/relationships/hyperlink" Target="http://www.centralbank.ie/stability/MacroprudentialPol/Pages/OtherSystemicallyImportantInstitutions(O-SII).aspx" TargetMode="External"/><Relationship Id="rId160" Type="http://schemas.openxmlformats.org/officeDocument/2006/relationships/hyperlink" Target="http://www.dnb.nl/en/about-dnb/duties/financial-stability/macroprudentiele-instrumenten/index.jsp" TargetMode="External"/><Relationship Id="rId22" Type="http://schemas.openxmlformats.org/officeDocument/2006/relationships/hyperlink" Target="https://www.cssf.lu/en/documentation/regulations/laws-regulations-and-other-texts/news-cat/130/" TargetMode="External"/><Relationship Id="rId43" Type="http://schemas.openxmlformats.org/officeDocument/2006/relationships/hyperlink" Target="https://www.fma-li.li/en/supervision/financial-stability-and-macroprudential-supervision/macroprudential-instruments/capital-buffer-for-systemically-important-institutions.html" TargetMode="External"/><Relationship Id="rId64" Type="http://schemas.openxmlformats.org/officeDocument/2006/relationships/hyperlink" Target="http://www.finanssivalvonta.fi/en/Supervision/Macroprudential_supervision/decision_making/Pages/Default.aspx" TargetMode="External"/><Relationship Id="rId118" Type="http://schemas.openxmlformats.org/officeDocument/2006/relationships/hyperlink" Target="https://systemicriskcouncil.dk/news/2024/june/follow-up-on-the-decision-by-the-minister-for-industry-business-and-financial-affairs-to-activate-a-sector-specific-systemic-risk-buffer-for-corporate-exposures-to-real-estate-companies" TargetMode="External"/><Relationship Id="rId139" Type="http://schemas.openxmlformats.org/officeDocument/2006/relationships/hyperlink" Target="https://www.bankofgreece.gr/en/main-tasks/financial-stability/macroprudential-policy/o-sii-buffer" TargetMode="External"/><Relationship Id="rId85" Type="http://schemas.openxmlformats.org/officeDocument/2006/relationships/hyperlink" Target="http://www.bsi.si/en/financial-stability.asp?MapaId=1886" TargetMode="External"/><Relationship Id="rId150" Type="http://schemas.openxmlformats.org/officeDocument/2006/relationships/hyperlink" Target="http://www.dnb.nl/en/about-dnb/duties/financial-stability/macroprudentiele-instrumenten/index.jsp" TargetMode="External"/><Relationship Id="rId171" Type="http://schemas.openxmlformats.org/officeDocument/2006/relationships/hyperlink" Target="https://www.bde.es/bde/en/areas/estabilidad/herramientas-macroprudenciales/identificacion__bbe79f06544b261.html" TargetMode="External"/><Relationship Id="rId12" Type="http://schemas.openxmlformats.org/officeDocument/2006/relationships/hyperlink" Target="https://www.bancaditalia.it/compiti/stabilita-finanziaria/politica-macroprudenziale/index.html?com.dotmarketing.htmlpage.language=1" TargetMode="External"/><Relationship Id="rId33" Type="http://schemas.openxmlformats.org/officeDocument/2006/relationships/hyperlink" Target="https://www.esrb.europa.eu/pub/pdf/other/140625_Notification_letter_Latvia_on_counte_cyclical_capital_buffer.pdf?e99a1c80c5da0e944d4080fb15b51285" TargetMode="External"/><Relationship Id="rId108" Type="http://schemas.openxmlformats.org/officeDocument/2006/relationships/hyperlink" Target="http://www.nbs.sk/en/financial-market-supervision1/macroprudential-policy/current-status-of-macroprudential-instruments/current-setting-of-capital-buffers-in-slovakia" TargetMode="External"/><Relationship Id="rId129" Type="http://schemas.openxmlformats.org/officeDocument/2006/relationships/hyperlink" Target="https://www.hnb.hr/en/core-functions/financial-stability/cnb-s-macroprudential-policy/systemically-important-institutions" TargetMode="External"/><Relationship Id="rId54" Type="http://schemas.openxmlformats.org/officeDocument/2006/relationships/hyperlink" Target="https://www.nbb.be/en/financial-oversight/macroprudential-supervision/macroprudentiele-instrumenten/countercyclical-buffer" TargetMode="External"/><Relationship Id="rId75" Type="http://schemas.openxmlformats.org/officeDocument/2006/relationships/hyperlink" Target="https://www.bde.es/bde/en/areas/estabilidad/herramientas-macroprudenciales/colchon-de-capital-anticiclico/fijacion_del_po_abd79f06544b261.html" TargetMode="External"/><Relationship Id="rId96" Type="http://schemas.openxmlformats.org/officeDocument/2006/relationships/hyperlink" Target="https://en.fme.is/" TargetMode="External"/><Relationship Id="rId140" Type="http://schemas.openxmlformats.org/officeDocument/2006/relationships/hyperlink" Target="http://www.centralbank.ie/stability/MacroprudentialPol/Pages/OtherSystemicallyImportantInstitutions(O-SII).aspx" TargetMode="External"/><Relationship Id="rId161" Type="http://schemas.openxmlformats.org/officeDocument/2006/relationships/hyperlink" Target="https://www.dnb.nl/en/sector-information/open-book-supervision/open-book-supervision-sectors/banks/prudential-supervision/factsheet/buffers-for-systemically-important-banks-g-sii-o-sii/" TargetMode="External"/><Relationship Id="rId1" Type="http://schemas.openxmlformats.org/officeDocument/2006/relationships/hyperlink" Target="http://www.cnb.cz/en/financial_stability/macroprudential_policy/list_other_systemically_important_institutions/index.html" TargetMode="External"/><Relationship Id="rId6" Type="http://schemas.openxmlformats.org/officeDocument/2006/relationships/hyperlink" Target="https://www.fi.se/sv/publicerat/sarskilda-pm-beslut/2020/fi-har-fattat-beslut-om-kapitalbuffertar-for-storbankerna/" TargetMode="External"/><Relationship Id="rId23" Type="http://schemas.openxmlformats.org/officeDocument/2006/relationships/hyperlink" Target="https://www.cssf.lu/en/" TargetMode="External"/><Relationship Id="rId28" Type="http://schemas.openxmlformats.org/officeDocument/2006/relationships/hyperlink" Target="https://www.bportugal.pt/en/page/capital-conservation-buffer" TargetMode="External"/><Relationship Id="rId49" Type="http://schemas.openxmlformats.org/officeDocument/2006/relationships/hyperlink" Target="https://www.knf.gov.pl/en/" TargetMode="External"/><Relationship Id="rId114" Type="http://schemas.openxmlformats.org/officeDocument/2006/relationships/hyperlink" Target="https://www.bnb.bg/BankSupervision/BSCapitalBuffers/BSCBSystemicRiskBuffer/index.htm?toLang=_EN" TargetMode="External"/><Relationship Id="rId119" Type="http://schemas.openxmlformats.org/officeDocument/2006/relationships/hyperlink" Target="https://www.bancaditalia.it/media/comunicati/documenti/2024-01/pr_SyRB_Activation_of_the_systemic_risk_buffer.pdf?language_id=1" TargetMode="External"/><Relationship Id="rId44" Type="http://schemas.openxmlformats.org/officeDocument/2006/relationships/hyperlink" Target="https://www.bsi.si/en/" TargetMode="External"/><Relationship Id="rId60" Type="http://schemas.openxmlformats.org/officeDocument/2006/relationships/hyperlink" Target="https://www.bnb.bg/BankSupervision/BSCapitalBuffers/BSCBOtherSystemicallyImportantInstitutions/index.htm?toLang=_EN" TargetMode="External"/><Relationship Id="rId65" Type="http://schemas.openxmlformats.org/officeDocument/2006/relationships/hyperlink" Target="http://www.finlex.fi/fi/laki/kaannokset/2014/en20140610.pdf" TargetMode="External"/><Relationship Id="rId81" Type="http://schemas.openxmlformats.org/officeDocument/2006/relationships/hyperlink" Target="http://www.cnsmro.ro/en/sedinta-cnsm-din-14-octombrie-2021/" TargetMode="External"/><Relationship Id="rId86" Type="http://schemas.openxmlformats.org/officeDocument/2006/relationships/hyperlink" Target="https://www.bsi.si/en/financial-stability/macroprudential-supervision/macroprudential-instruments" TargetMode="External"/><Relationship Id="rId130" Type="http://schemas.openxmlformats.org/officeDocument/2006/relationships/hyperlink" Target="http://www.centralbank.gov.cy/nqcontent.cfm?a_id=15672" TargetMode="External"/><Relationship Id="rId135" Type="http://schemas.openxmlformats.org/officeDocument/2006/relationships/hyperlink" Target="https://acpr.banque-france.fr/nc/publications/registre-officiel.html" TargetMode="External"/><Relationship Id="rId151" Type="http://schemas.openxmlformats.org/officeDocument/2006/relationships/hyperlink" Target="https://www.dnb.nl/en/sector-information/open-book-supervision/open-book-supervision-sectors/banks/prudential-supervision/factsheet/buffers-for-systemically-important-banks-g-sii-o-sii/" TargetMode="External"/><Relationship Id="rId156" Type="http://schemas.openxmlformats.org/officeDocument/2006/relationships/hyperlink" Target="https://www.bsi.si/en/financial-stability/macroprudential-supervision/macroprudential-instruments/capital-buffer-for-other-systemically-important-institutions-o-sii-buffer" TargetMode="External"/><Relationship Id="rId172" Type="http://schemas.openxmlformats.org/officeDocument/2006/relationships/hyperlink" Target="https://www.nbb.be/en/activities/financial-supervision-and-resolution/financial-stability/macroprudential-instruments" TargetMode="External"/><Relationship Id="rId13" Type="http://schemas.openxmlformats.org/officeDocument/2006/relationships/hyperlink" Target="https://www.bancaditalia.it/homepage/index.html?com.dotmarketing.htmlpage.language=1" TargetMode="External"/><Relationship Id="rId18" Type="http://schemas.openxmlformats.org/officeDocument/2006/relationships/hyperlink" Target="https://www.lb.lt/en" TargetMode="External"/><Relationship Id="rId39" Type="http://schemas.openxmlformats.org/officeDocument/2006/relationships/hyperlink" Target="https://systemicriskcouncil.dk/working-areas/countercyclical-capital-buffer" TargetMode="External"/><Relationship Id="rId109" Type="http://schemas.openxmlformats.org/officeDocument/2006/relationships/hyperlink" Target="http://www.nbs.sk/en/home" TargetMode="External"/><Relationship Id="rId34" Type="http://schemas.openxmlformats.org/officeDocument/2006/relationships/hyperlink" Target="https://www.mfsa.mt/wp-content/uploads/2019/02/Banking-Rule-15.pdf" TargetMode="External"/><Relationship Id="rId50" Type="http://schemas.openxmlformats.org/officeDocument/2006/relationships/hyperlink" Target="https://www.nbp.pl/macroprudentialsupervision/instrumenty.aspx" TargetMode="External"/><Relationship Id="rId55" Type="http://schemas.openxmlformats.org/officeDocument/2006/relationships/hyperlink" Target="https://www.nbb.be/en/financial-oversight/macroprudential-supervision/macroprudential-instruments/other-systemically" TargetMode="External"/><Relationship Id="rId76" Type="http://schemas.openxmlformats.org/officeDocument/2006/relationships/hyperlink" Target="https://www.bancaditalia.it/compiti/stabilita-finanziaria/politica-macroprudenziale/index.html" TargetMode="External"/><Relationship Id="rId97" Type="http://schemas.openxmlformats.org/officeDocument/2006/relationships/hyperlink" Target="http://www.hnb.hr/en/home" TargetMode="External"/><Relationship Id="rId104" Type="http://schemas.openxmlformats.org/officeDocument/2006/relationships/hyperlink" Target="http://www.dnb.nl/en/about-dnb/duties/financial-stability/macroprudentiele-instrumenten/index.jsp" TargetMode="External"/><Relationship Id="rId120" Type="http://schemas.openxmlformats.org/officeDocument/2006/relationships/hyperlink" Target="http://www.fktk.lv/en/publications/macroprudential-supervision/countercyclical-capital-buffer.html" TargetMode="External"/><Relationship Id="rId125" Type="http://schemas.openxmlformats.org/officeDocument/2006/relationships/hyperlink" Target="https://www.bportugal.pt/en/page/sectoral-systemic-risk-buffer" TargetMode="External"/><Relationship Id="rId141" Type="http://schemas.openxmlformats.org/officeDocument/2006/relationships/hyperlink" Target="https://www.centralbank.ie/macro-prudential-policies-for-bank-capital/other-systemically-important-institutions-buffer" TargetMode="External"/><Relationship Id="rId146" Type="http://schemas.openxmlformats.org/officeDocument/2006/relationships/hyperlink" Target="https://www.cssf.lu/en/documentation/regulations/laws-regulations-and-other-texts/news-cat/130/" TargetMode="External"/><Relationship Id="rId167" Type="http://schemas.openxmlformats.org/officeDocument/2006/relationships/hyperlink" Target="https://www.economie.gouv.fr/hcsf-en" TargetMode="External"/><Relationship Id="rId7" Type="http://schemas.openxmlformats.org/officeDocument/2006/relationships/hyperlink" Target="https://www.fi.se/sv/publicerat/sarskilda-pm-beslut/2020/fi-har-fattat-beslut-om-kapitalbuffertar-for-storbankerna/" TargetMode="External"/><Relationship Id="rId71" Type="http://schemas.openxmlformats.org/officeDocument/2006/relationships/hyperlink" Target="https://www.bankofgreece.gr/en/main-tasks/financial-stability/macroprudential-policy/countercyclical-capital-buffer" TargetMode="External"/><Relationship Id="rId92" Type="http://schemas.openxmlformats.org/officeDocument/2006/relationships/hyperlink" Target="https://www.cb.is/financial-stability/macroprudential-policy/capital-buffers/" TargetMode="External"/><Relationship Id="rId162" Type="http://schemas.openxmlformats.org/officeDocument/2006/relationships/hyperlink" Target="https://www.bafin.de/EN/Aufsicht/BankenFinanzdienstleister/Eigenmittelanforderungen/ASRI/asri_artikel_en.html" TargetMode="External"/><Relationship Id="rId2" Type="http://schemas.openxmlformats.org/officeDocument/2006/relationships/hyperlink" Target="https://www.esrb.europa.eu/pub/pdf/other/141106_Notification_EBA_Article_133.11.pdf?5488a5adadd4ed5d2602010ba926d472" TargetMode="External"/><Relationship Id="rId29" Type="http://schemas.openxmlformats.org/officeDocument/2006/relationships/hyperlink" Target="https://www.bportugal.pt/en/page/countercyclical-capital-buffer" TargetMode="External"/><Relationship Id="rId24" Type="http://schemas.openxmlformats.org/officeDocument/2006/relationships/hyperlink" Target="https://www.cssf.lu/en/macroprudential-supervision/" TargetMode="External"/><Relationship Id="rId40" Type="http://schemas.openxmlformats.org/officeDocument/2006/relationships/hyperlink" Target="https://www.cnb.cz/en/financial-stability/macroprudential-policy/the-countercyclical-capital-buffer/" TargetMode="External"/><Relationship Id="rId45" Type="http://schemas.openxmlformats.org/officeDocument/2006/relationships/hyperlink" Target="http://www.bnr.ro/page.aspx?prid=12537" TargetMode="External"/><Relationship Id="rId66" Type="http://schemas.openxmlformats.org/officeDocument/2006/relationships/hyperlink" Target="https://www.bafin.de/EN/Aufsicht/BankenFinanzdienstleister/Eigenmittelanforderungen/Kapitalpuffer/antizyklischer_kapitalpuffer_node_en.html;jsessionid=58255740132EDA3EA36497D1FF2941F3.1_cid298" TargetMode="External"/><Relationship Id="rId87" Type="http://schemas.openxmlformats.org/officeDocument/2006/relationships/hyperlink" Target="https://nbp.pl/en/financial-system/macroprudential-supervision/macroprudential-instruments/conservation-buffer/" TargetMode="External"/><Relationship Id="rId110" Type="http://schemas.openxmlformats.org/officeDocument/2006/relationships/hyperlink" Target="https://www.centralbankmalta.org/sectoral-systemic-risk-buffer" TargetMode="External"/><Relationship Id="rId115" Type="http://schemas.openxmlformats.org/officeDocument/2006/relationships/hyperlink" Target="https://www.fma.gv.at/en/banks/macroprudential-supervision/details-about-systemic-risk-buffer/" TargetMode="External"/><Relationship Id="rId131" Type="http://schemas.openxmlformats.org/officeDocument/2006/relationships/hyperlink" Target="https://www.centralbank.cy/en/financial-stability/macroprudential-policy-decisions/o-sii-capital-buffer-for-other-systemically-important-institutions-credit-institutions" TargetMode="External"/><Relationship Id="rId136" Type="http://schemas.openxmlformats.org/officeDocument/2006/relationships/hyperlink" Target="https://acpr.banque-france.fr/en/node/27154" TargetMode="External"/><Relationship Id="rId157" Type="http://schemas.openxmlformats.org/officeDocument/2006/relationships/hyperlink" Target="http://www.bde.es/bde/en/areas/estabilidad/politica-macropr/" TargetMode="External"/><Relationship Id="rId61" Type="http://schemas.openxmlformats.org/officeDocument/2006/relationships/hyperlink" Target="http://www.eestipank.ee/en" TargetMode="External"/><Relationship Id="rId82" Type="http://schemas.openxmlformats.org/officeDocument/2006/relationships/hyperlink" Target="https://www.bankofgreece.gr/en/main-tasks/financial-stability/macroprudential-policy/capital-conservation-buffer" TargetMode="External"/><Relationship Id="rId152" Type="http://schemas.openxmlformats.org/officeDocument/2006/relationships/hyperlink" Target="https://www.bportugal.pt/en/page/o-sii-capital-buffer" TargetMode="External"/><Relationship Id="rId173" Type="http://schemas.openxmlformats.org/officeDocument/2006/relationships/printerSettings" Target="../printerSettings/printerSettings1.bin"/><Relationship Id="rId19" Type="http://schemas.openxmlformats.org/officeDocument/2006/relationships/hyperlink" Target="https://www.lb.lt/en/banks-prudential-requirements-and-ratios" TargetMode="External"/><Relationship Id="rId14" Type="http://schemas.openxmlformats.org/officeDocument/2006/relationships/hyperlink" Target="https://www.esrb.europa.eu/pub/pdf/other/140625_Notification_letter_Latvia_on_counte_cyclical_capital_buffer.pdf" TargetMode="External"/><Relationship Id="rId30" Type="http://schemas.openxmlformats.org/officeDocument/2006/relationships/hyperlink" Target="https://www.bportugal.pt/en" TargetMode="External"/><Relationship Id="rId35" Type="http://schemas.openxmlformats.org/officeDocument/2006/relationships/hyperlink" Target="https://www.centralbankmalta.org/countercyclical-capital-buffer" TargetMode="External"/><Relationship Id="rId56" Type="http://schemas.openxmlformats.org/officeDocument/2006/relationships/hyperlink" Target="https://www.nbb.be/en" TargetMode="External"/><Relationship Id="rId77" Type="http://schemas.openxmlformats.org/officeDocument/2006/relationships/hyperlink" Target="https://www.finanstilsynet.dk/Nyheder-og-Presse/Pressemeddelelser/2021/Sifi_250621" TargetMode="External"/><Relationship Id="rId100" Type="http://schemas.openxmlformats.org/officeDocument/2006/relationships/hyperlink" Target="https://www.centralbank.cy/en/home" TargetMode="External"/><Relationship Id="rId105" Type="http://schemas.openxmlformats.org/officeDocument/2006/relationships/hyperlink" Target="https://www.dnb.nl/en/home/" TargetMode="External"/><Relationship Id="rId126" Type="http://schemas.openxmlformats.org/officeDocument/2006/relationships/hyperlink" Target="https://www.fma.gv.at/en/banks/macroprudential-supervision/details-about-identified-institutions/" TargetMode="External"/><Relationship Id="rId147" Type="http://schemas.openxmlformats.org/officeDocument/2006/relationships/hyperlink" Target="https://www.cssf.lu/en/macroprudential-supervision/" TargetMode="External"/><Relationship Id="rId168" Type="http://schemas.openxmlformats.org/officeDocument/2006/relationships/hyperlink" Target="https://www.economie.gouv.fr/en/hcsf-en" TargetMode="External"/><Relationship Id="rId8" Type="http://schemas.openxmlformats.org/officeDocument/2006/relationships/hyperlink" Target="http://em.dk/english" TargetMode="External"/><Relationship Id="rId51" Type="http://schemas.openxmlformats.org/officeDocument/2006/relationships/hyperlink" Target="https://www.gov.pl/web/finance" TargetMode="External"/><Relationship Id="rId72" Type="http://schemas.openxmlformats.org/officeDocument/2006/relationships/hyperlink" Target="http://www.bnr.ro/page.aspx?prid=12537" TargetMode="External"/><Relationship Id="rId93" Type="http://schemas.openxmlformats.org/officeDocument/2006/relationships/hyperlink" Target="https://www.cb.is/financial-stability/macroprudential-policy/capital-buffers/" TargetMode="External"/><Relationship Id="rId98" Type="http://schemas.openxmlformats.org/officeDocument/2006/relationships/hyperlink" Target="https://www.hnb.hr/en/core-functions/financial-stability/cnb-s-macroprudential-policy/countercyclical-capital-buffer" TargetMode="External"/><Relationship Id="rId121" Type="http://schemas.openxmlformats.org/officeDocument/2006/relationships/hyperlink" Target="https://www.bank.lv/en/operational-areas/financial-stability/macroprudential-measures-introduced-in-latvia/countercyclical-capital-buffer" TargetMode="External"/><Relationship Id="rId142" Type="http://schemas.openxmlformats.org/officeDocument/2006/relationships/hyperlink" Target="https://www.bancaditalia.it/compiti/stabilita-finanziaria/politica-macroprudenziale/index.html?com.dotmarketing.htmlpage.language=1" TargetMode="External"/><Relationship Id="rId163" Type="http://schemas.openxmlformats.org/officeDocument/2006/relationships/hyperlink" Target="https://acpr.banque-france.fr/nc/publications/registre-officiel.html" TargetMode="External"/><Relationship Id="rId3" Type="http://schemas.openxmlformats.org/officeDocument/2006/relationships/hyperlink" Target="http://www.fi.se/Folder-EN/Startpage/Supervision/Miscellaneous/Listan/Swedish-banks-systemic-importance-O-SII-/" TargetMode="External"/><Relationship Id="rId25" Type="http://schemas.openxmlformats.org/officeDocument/2006/relationships/hyperlink" Target="https://www.mfsa.com.mt/pages/readfile.aspx?f=/files/LegislationRegulation/regulation/banking/creditInstitutions/rules/20150413%20Banking%20Rule%20BR15.pdf" TargetMode="External"/><Relationship Id="rId46" Type="http://schemas.openxmlformats.org/officeDocument/2006/relationships/hyperlink" Target="https://www.regjeringen.no/en/dep/fin/id216/" TargetMode="External"/><Relationship Id="rId67" Type="http://schemas.openxmlformats.org/officeDocument/2006/relationships/hyperlink" Target="https://www.bafin.de/EN/Homepage/homepage_node.html" TargetMode="External"/><Relationship Id="rId116" Type="http://schemas.openxmlformats.org/officeDocument/2006/relationships/hyperlink" Target="https://www.lb.lt/en/financial-stability-instruments-1" TargetMode="External"/><Relationship Id="rId137" Type="http://schemas.openxmlformats.org/officeDocument/2006/relationships/hyperlink" Target="https://www.bafin.de/EN/Aufsicht/BankenFinanzdienstleister/Eigenmittelanforderungen/ASRI/asri_artikel_en.html" TargetMode="External"/><Relationship Id="rId158" Type="http://schemas.openxmlformats.org/officeDocument/2006/relationships/hyperlink" Target="http://www.bde.es/bde/en/areas/estabilidad/politica-macropr/" TargetMode="External"/><Relationship Id="rId20" Type="http://schemas.openxmlformats.org/officeDocument/2006/relationships/hyperlink" Target="https://www.lb.lt/uploads/documents/files/musu-veikla/Finansinis-stabilumas/Resolution%2003-145_EN.pdf" TargetMode="External"/><Relationship Id="rId41" Type="http://schemas.openxmlformats.org/officeDocument/2006/relationships/hyperlink" Target="https://www.mnb.hu/en/financial-stability/macroprudential-policy/the-macroprudential-toolkit/countercyclical-capital-buffer-ccyb" TargetMode="External"/><Relationship Id="rId62" Type="http://schemas.openxmlformats.org/officeDocument/2006/relationships/hyperlink" Target="https://www.finanssivalvonta.fi/en/financial-market-stability/macroprudential/fin-fsas-macroprudential-decisions/" TargetMode="External"/><Relationship Id="rId83" Type="http://schemas.openxmlformats.org/officeDocument/2006/relationships/hyperlink" Target="https://em.dk/" TargetMode="External"/><Relationship Id="rId88" Type="http://schemas.openxmlformats.org/officeDocument/2006/relationships/hyperlink" Target="https://nbp.pl/en/financial-system/macroprudential-supervision/countercyclical-buffer/buffer-rate/" TargetMode="External"/><Relationship Id="rId111" Type="http://schemas.openxmlformats.org/officeDocument/2006/relationships/hyperlink" Target="https://www.regjeringen.no/en/aktuelt/changes-in-banks-capital-requirements-from-year-end-2020/id2682169/" TargetMode="External"/><Relationship Id="rId132" Type="http://schemas.openxmlformats.org/officeDocument/2006/relationships/hyperlink" Target="https://www.eestipank.ee/en/financial-stability/other-systemically-important-institutions-buffer" TargetMode="External"/><Relationship Id="rId153" Type="http://schemas.openxmlformats.org/officeDocument/2006/relationships/hyperlink" Target="http://www.nbs.sk/en/financial-market-supervision1/macroprudential-policy/current-status-of-macroprudential-instruments/current-setting-of-capital-buffers-in-slovakia" TargetMode="External"/><Relationship Id="rId15" Type="http://schemas.openxmlformats.org/officeDocument/2006/relationships/hyperlink" Target="https://www.bank.lv/en/" TargetMode="External"/><Relationship Id="rId36" Type="http://schemas.openxmlformats.org/officeDocument/2006/relationships/hyperlink" Target="https://www.cssf.lu/en/macroprudential-supervision/" TargetMode="External"/><Relationship Id="rId57" Type="http://schemas.openxmlformats.org/officeDocument/2006/relationships/hyperlink" Target="https://www.nbb.be/en/financial-oversight/macroprudential-supervision/macroprudential-instruments/countercyclical-buffer" TargetMode="External"/><Relationship Id="rId106" Type="http://schemas.openxmlformats.org/officeDocument/2006/relationships/hyperlink" Target="https://www.dnb.nl/en/sector-news/supervision-2025/q3/dnb-maintains-the-countercyclical-capital-buffer-at-2/" TargetMode="External"/><Relationship Id="rId127" Type="http://schemas.openxmlformats.org/officeDocument/2006/relationships/hyperlink" Target="https://www.fma.gv.at/en/banks/macroprudential-supervision/details-osii-buffer/" TargetMode="External"/><Relationship Id="rId10" Type="http://schemas.openxmlformats.org/officeDocument/2006/relationships/hyperlink" Target="https://www.cnb.cz/en/financial-stability/macroprudential-policy/the-capital-conservation-buffer/" TargetMode="External"/><Relationship Id="rId31" Type="http://schemas.openxmlformats.org/officeDocument/2006/relationships/hyperlink" Target="http://www.bde.es/bde/en/areas/estabilidad/politica-macropr/" TargetMode="External"/><Relationship Id="rId52" Type="http://schemas.openxmlformats.org/officeDocument/2006/relationships/hyperlink" Target="https://www.fma.gv.at/en/banks/macroprudential-supervision/details-about-the-countercyclical-capital-buffer/" TargetMode="External"/><Relationship Id="rId73" Type="http://schemas.openxmlformats.org/officeDocument/2006/relationships/hyperlink" Target="http://www.bnr.ro/Macroprudential-Policy-15315.aspx" TargetMode="External"/><Relationship Id="rId78" Type="http://schemas.openxmlformats.org/officeDocument/2006/relationships/hyperlink" Target="https://www.regjeringen.no/no/aktuelt/beslutning-om-systemviktige-finansforetak/id2996262/" TargetMode="External"/><Relationship Id="rId94" Type="http://schemas.openxmlformats.org/officeDocument/2006/relationships/hyperlink" Target="https://www.cb.is/financial-stability/macroprudential-policy/capital-buffers/" TargetMode="External"/><Relationship Id="rId99" Type="http://schemas.openxmlformats.org/officeDocument/2006/relationships/hyperlink" Target="https://www.hnb.hr/en/core-functions/financial-stability/macroprudential-measures/capital-conservation-buffer" TargetMode="External"/><Relationship Id="rId101" Type="http://schemas.openxmlformats.org/officeDocument/2006/relationships/hyperlink" Target="http://www.centralbank.gov.cy/nqcontent.cfm?a_id=15671" TargetMode="External"/><Relationship Id="rId122" Type="http://schemas.openxmlformats.org/officeDocument/2006/relationships/hyperlink" Target="https://acpr.banque-france.fr/en/acpr.html" TargetMode="External"/><Relationship Id="rId143" Type="http://schemas.openxmlformats.org/officeDocument/2006/relationships/hyperlink" Target="http://www.fktk.lv/en/publications/macroprudential-supervision/other-systemically-significant-institutions.html" TargetMode="External"/><Relationship Id="rId148" Type="http://schemas.openxmlformats.org/officeDocument/2006/relationships/hyperlink" Target="https://www.centralbankmalta.org/systemically-important-institutions" TargetMode="External"/><Relationship Id="rId164" Type="http://schemas.openxmlformats.org/officeDocument/2006/relationships/hyperlink" Target="https://acpr.banque-france.fr/en/node/27154" TargetMode="External"/><Relationship Id="rId169" Type="http://schemas.openxmlformats.org/officeDocument/2006/relationships/hyperlink" Target="https://acpr.banque-france.fr/en" TargetMode="External"/><Relationship Id="rId4" Type="http://schemas.openxmlformats.org/officeDocument/2006/relationships/hyperlink" Target="https://www.mnb.hu/en" TargetMode="External"/><Relationship Id="rId9" Type="http://schemas.openxmlformats.org/officeDocument/2006/relationships/hyperlink" Target="https://www.fma-li.li/" TargetMode="External"/><Relationship Id="rId26" Type="http://schemas.openxmlformats.org/officeDocument/2006/relationships/hyperlink" Target="https://www.centralbankmalta.org/countercyclical-capital-buffer" TargetMode="External"/><Relationship Id="rId47" Type="http://schemas.openxmlformats.org/officeDocument/2006/relationships/hyperlink" Target="https://www.norges-bank.no/en/news-events/news-publications/News-items/2024/2024-01-25-ccb/" TargetMode="External"/><Relationship Id="rId68" Type="http://schemas.openxmlformats.org/officeDocument/2006/relationships/hyperlink" Target="https://www.bafin.de/EN/Aufsicht/BankenFinanzdienstleister/Eigenmittelanforderungen/Kapitalpuffer/antizyklischer_kapitalpuffer_node_en.html" TargetMode="External"/><Relationship Id="rId89" Type="http://schemas.openxmlformats.org/officeDocument/2006/relationships/hyperlink" Target="https://www.fma.gv.at/en/banks/macroprudential-supervision/" TargetMode="External"/><Relationship Id="rId112" Type="http://schemas.openxmlformats.org/officeDocument/2006/relationships/hyperlink" Target="https://www.bnr.ro/The-systemic-risk-buffer-17993-Mobile.aspx?pid=17993" TargetMode="External"/><Relationship Id="rId133" Type="http://schemas.openxmlformats.org/officeDocument/2006/relationships/hyperlink" Target="http://www.eestipank.ee/en/financial-stability/systemically-important-credit-institutions" TargetMode="External"/><Relationship Id="rId154" Type="http://schemas.openxmlformats.org/officeDocument/2006/relationships/hyperlink" Target="https://nbs.sk/en/financial-stability/fs-instruments/o-sii/" TargetMode="External"/><Relationship Id="rId16" Type="http://schemas.openxmlformats.org/officeDocument/2006/relationships/hyperlink" Target="http://www.lb.lt/resolutions_of_the_board_of_the_bank_of_lithuania_32" TargetMode="External"/><Relationship Id="rId37" Type="http://schemas.openxmlformats.org/officeDocument/2006/relationships/hyperlink" Target="https://www.cnb.cz/en/" TargetMode="External"/><Relationship Id="rId58" Type="http://schemas.openxmlformats.org/officeDocument/2006/relationships/hyperlink" Target="http://www.bnb.bg/?toLang=_EN" TargetMode="External"/><Relationship Id="rId79" Type="http://schemas.openxmlformats.org/officeDocument/2006/relationships/hyperlink" Target="https://www.nbb.be/en/activities/financial-supervision-and-resolution/financial-stability/macroprudential-instruments" TargetMode="External"/><Relationship Id="rId102" Type="http://schemas.openxmlformats.org/officeDocument/2006/relationships/hyperlink" Target="http://www.centralbank.ie/Pages/home.aspx" TargetMode="External"/><Relationship Id="rId123" Type="http://schemas.openxmlformats.org/officeDocument/2006/relationships/hyperlink" Target="http://www.economie.gouv.fr/hcsf" TargetMode="External"/><Relationship Id="rId144" Type="http://schemas.openxmlformats.org/officeDocument/2006/relationships/hyperlink" Target="https://www.bank.lv/en/operational-areas/financial-stability/macroprudential-measures-introduced-in-latvia/capital-buffer-for-other-systemically-important-institutions" TargetMode="External"/><Relationship Id="rId90" Type="http://schemas.openxmlformats.org/officeDocument/2006/relationships/hyperlink" Target="https://www.finanssivalvonta.fi/en/publications-and-press-releases/Press-release/2025/macroprudential-decision-national-buffer-requirements-for-banks-and-the-housing-loan-cap-to-remain-unchanged/" TargetMode="External"/><Relationship Id="rId165" Type="http://schemas.openxmlformats.org/officeDocument/2006/relationships/hyperlink" Target="https://www.centralbank.cy/en/financial-stability/macroprudential-policy-decisions/countercyclical-capital-buffer-ccyb" TargetMode="External"/><Relationship Id="rId27" Type="http://schemas.openxmlformats.org/officeDocument/2006/relationships/hyperlink" Target="https://www.centralbankmalta.org/" TargetMode="External"/><Relationship Id="rId48" Type="http://schemas.openxmlformats.org/officeDocument/2006/relationships/hyperlink" Target="https://www.nbp.pl/macroprudentialsupervision/bufor.aspx" TargetMode="External"/><Relationship Id="rId69" Type="http://schemas.openxmlformats.org/officeDocument/2006/relationships/hyperlink" Target="http://www.bankofgreece.gr/Pages/el/Bank/LegalF/committeeacts.aspx" TargetMode="External"/><Relationship Id="rId113" Type="http://schemas.openxmlformats.org/officeDocument/2006/relationships/hyperlink" Target="https://www.hnb.hr/en/core-functions/financial-stability/cnb-s-macroprudential-policy/systemic-risk-buffer" TargetMode="External"/><Relationship Id="rId134" Type="http://schemas.openxmlformats.org/officeDocument/2006/relationships/hyperlink" Target="https://www.finanssivalvonta.fi/en/publications-and-press-releases/Press-release/2025/macroprudential-decision-national-buffer-requirements-for-banks-and-the-housing-loan-cap-to-remain-unchanged/" TargetMode="External"/><Relationship Id="rId80" Type="http://schemas.openxmlformats.org/officeDocument/2006/relationships/hyperlink" Target="https://www.fi.se/en/published/news/2025/fi-leaves-the-countercyclical-buffer-rate-unchanged4/" TargetMode="External"/><Relationship Id="rId155" Type="http://schemas.openxmlformats.org/officeDocument/2006/relationships/hyperlink" Target="http://www.bsi.si/en/financial-stability.asp?MapaId=1887" TargetMode="External"/><Relationship Id="rId17" Type="http://schemas.openxmlformats.org/officeDocument/2006/relationships/hyperlink" Target="https://www.lb.lt/countercyclical_capital_buffer" TargetMode="External"/><Relationship Id="rId38" Type="http://schemas.openxmlformats.org/officeDocument/2006/relationships/hyperlink" Target="https://www.cnb.cz/en/financial-stability/macroprudential-policy/list-of-other-systemically-important-institutions/" TargetMode="External"/><Relationship Id="rId59" Type="http://schemas.openxmlformats.org/officeDocument/2006/relationships/hyperlink" Target="https://www.bnb.bg/BankSupervision/BSCapitalBuffers/BSCBCountercyclical/index.htm?toLang=_EN" TargetMode="External"/><Relationship Id="rId103" Type="http://schemas.openxmlformats.org/officeDocument/2006/relationships/hyperlink" Target="https://www.centralbank.ie/macro-prudential-policies-for-bank-capital/countercyclical-capital-buffer" TargetMode="External"/><Relationship Id="rId124" Type="http://schemas.openxmlformats.org/officeDocument/2006/relationships/hyperlink" Target="https://www.economie.gouv.fr/hcsf/decisions-hcsf" TargetMode="External"/><Relationship Id="rId70" Type="http://schemas.openxmlformats.org/officeDocument/2006/relationships/hyperlink" Target="https://www.bankofgreece.gr/en/main-tasks/financial-stability" TargetMode="External"/><Relationship Id="rId91" Type="http://schemas.openxmlformats.org/officeDocument/2006/relationships/hyperlink" Target="https://www.cb.is/financial-stability/macroprudential-policy/capital-buffers/" TargetMode="External"/><Relationship Id="rId145" Type="http://schemas.openxmlformats.org/officeDocument/2006/relationships/hyperlink" Target="https://www.lb.lt/en/financial-stability-instruments-1" TargetMode="External"/><Relationship Id="rId166" Type="http://schemas.openxmlformats.org/officeDocument/2006/relationships/hyperlink" Target="https://www.cnb.cz/en/financial-stability/macroprudential-policy/the-systemic-risk-buffe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regjeringen.no/en/aktuelt/banks-capital-requirements-unchanged/id2951593/" TargetMode="External"/><Relationship Id="rId13" Type="http://schemas.openxmlformats.org/officeDocument/2006/relationships/hyperlink" Target="https://www.fi.se/en/published/important-memos-and-decisions/2025/fi-extends-the-risk-weight-floors-for-swedish-mortgages-and-commercial-real-estate/" TargetMode="External"/><Relationship Id="rId18" Type="http://schemas.openxmlformats.org/officeDocument/2006/relationships/hyperlink" Target="https://www.mnb.hu/en/financial-stability/macroprudential-policy/the-macroprudential-toolkit/mortgage-funding-adequacy-ratio-mfar" TargetMode="External"/><Relationship Id="rId3" Type="http://schemas.openxmlformats.org/officeDocument/2006/relationships/hyperlink" Target="https://www.fi.se/" TargetMode="External"/><Relationship Id="rId21" Type="http://schemas.openxmlformats.org/officeDocument/2006/relationships/printerSettings" Target="../printerSettings/printerSettings2.bin"/><Relationship Id="rId7" Type="http://schemas.openxmlformats.org/officeDocument/2006/relationships/hyperlink" Target="https://www.hnb.hr/en/" TargetMode="External"/><Relationship Id="rId12" Type="http://schemas.openxmlformats.org/officeDocument/2006/relationships/hyperlink" Target="https://www.hnb.hr/c/document_library/get_file?uuid=718bafa8-1c18-2223-4dd2-3f193f6d3152&amp;groupId=20182&amp;p_auth=FfHbYet1" TargetMode="External"/><Relationship Id="rId17" Type="http://schemas.openxmlformats.org/officeDocument/2006/relationships/hyperlink" Target="https://www.mnb.hu/web/en" TargetMode="External"/><Relationship Id="rId2" Type="http://schemas.openxmlformats.org/officeDocument/2006/relationships/hyperlink" Target="https://www.regjeringen.no/en/dep/fin/id216/" TargetMode="External"/><Relationship Id="rId16" Type="http://schemas.openxmlformats.org/officeDocument/2006/relationships/hyperlink" Target="http://www.cnb.cz/export/sites/cnb/en/legislation/.galleries/official_information/vestnik_2025_17_22225180_en.pdf" TargetMode="External"/><Relationship Id="rId20" Type="http://schemas.openxmlformats.org/officeDocument/2006/relationships/hyperlink" Target="https://cb.is/news-and-publications/article/statement-of-the-financial-stability-committee-31-october-2025" TargetMode="External"/><Relationship Id="rId1" Type="http://schemas.openxmlformats.org/officeDocument/2006/relationships/hyperlink" Target="https://www.regjeringen.no/en/dep/fin/id216/" TargetMode="External"/><Relationship Id="rId6" Type="http://schemas.openxmlformats.org/officeDocument/2006/relationships/hyperlink" Target="https://www.regjeringen.no/en/dep/fin/id216/" TargetMode="External"/><Relationship Id="rId11" Type="http://schemas.openxmlformats.org/officeDocument/2006/relationships/hyperlink" Target="https://www.dnb.nl/publicaties/publicaties-toezicht/consultatie-2024/consultatie-verlenging-regeling-risicoweging-hypothecaire-leningen-2024/" TargetMode="External"/><Relationship Id="rId5" Type="http://schemas.openxmlformats.org/officeDocument/2006/relationships/hyperlink" Target="https://www.nbb.be/en/financial-oversight/macroprudential-supervision/macroprudential-instruments/other-systemically" TargetMode="External"/><Relationship Id="rId15" Type="http://schemas.openxmlformats.org/officeDocument/2006/relationships/hyperlink" Target="https://www.cnb.cz/en/" TargetMode="External"/><Relationship Id="rId10" Type="http://schemas.openxmlformats.org/officeDocument/2006/relationships/hyperlink" Target="https://www.dnb.nl/en/home/" TargetMode="External"/><Relationship Id="rId19" Type="http://schemas.openxmlformats.org/officeDocument/2006/relationships/hyperlink" Target="https://cb.is/" TargetMode="External"/><Relationship Id="rId4" Type="http://schemas.openxmlformats.org/officeDocument/2006/relationships/hyperlink" Target="https://www.fi.se/" TargetMode="External"/><Relationship Id="rId9" Type="http://schemas.openxmlformats.org/officeDocument/2006/relationships/hyperlink" Target="https://www.regjeringen.no/no/aktuelt/na-kan-landbruket-fa-rimeligere-lan/id3047180/" TargetMode="External"/><Relationship Id="rId14" Type="http://schemas.openxmlformats.org/officeDocument/2006/relationships/hyperlink" Target="https://www.fi.se/en/published/important-memos-and-decisions/2025/fi-extends-the-risk-weight-floors-for-swedish-mortgages-and-commercial-real-est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pageSetUpPr fitToPage="1"/>
  </sheetPr>
  <dimension ref="A1:M276"/>
  <sheetViews>
    <sheetView showGridLines="0" tabSelected="1" zoomScale="70" zoomScaleNormal="70" zoomScaleSheetLayoutView="40" workbookViewId="0">
      <pane xSplit="2" ySplit="6" topLeftCell="C233" activePane="bottomRight" state="frozen"/>
      <selection pane="topRight" activeCell="C1" sqref="C1"/>
      <selection pane="bottomLeft" activeCell="A7" sqref="A7"/>
      <selection pane="bottomRight" activeCell="J228" sqref="J228"/>
    </sheetView>
  </sheetViews>
  <sheetFormatPr defaultColWidth="9.1328125" defaultRowHeight="14.25" outlineLevelRow="1" outlineLevelCol="1" x14ac:dyDescent="0.45"/>
  <cols>
    <col min="1" max="1" width="1.86328125" style="25" customWidth="1"/>
    <col min="2" max="2" width="35.86328125" style="3" customWidth="1"/>
    <col min="3" max="3" width="29.1328125" style="3" customWidth="1"/>
    <col min="4" max="4" width="10.1328125" style="4" bestFit="1" customWidth="1"/>
    <col min="5" max="5" width="10.1328125" style="5" bestFit="1" customWidth="1"/>
    <col min="6" max="6" width="17" style="4" customWidth="1"/>
    <col min="7" max="7" width="17.3984375" style="4" customWidth="1"/>
    <col min="8" max="9" width="14" style="4" bestFit="1" customWidth="1"/>
    <col min="10" max="10" width="22.3984375" style="4" customWidth="1"/>
    <col min="11" max="11" width="63.1328125" style="6" customWidth="1" outlineLevel="1"/>
    <col min="12" max="12" width="9.1328125" style="7"/>
    <col min="13" max="13" width="9.1328125" style="27"/>
    <col min="14" max="16384" width="9.1328125" style="7"/>
  </cols>
  <sheetData>
    <row r="1" spans="1:13" ht="21" x14ac:dyDescent="0.65">
      <c r="A1" s="1" t="s">
        <v>545</v>
      </c>
      <c r="B1" s="1"/>
      <c r="C1" s="1"/>
      <c r="D1" s="1"/>
      <c r="E1" s="1"/>
    </row>
    <row r="2" spans="1:13" ht="21" x14ac:dyDescent="0.65">
      <c r="A2" s="1" t="s">
        <v>0</v>
      </c>
      <c r="B2" s="1"/>
      <c r="C2" s="1"/>
      <c r="D2" s="1"/>
    </row>
    <row r="3" spans="1:13" ht="15.75" x14ac:dyDescent="0.45">
      <c r="A3" s="8" t="s">
        <v>536</v>
      </c>
    </row>
    <row r="4" spans="1:13" s="10" customFormat="1" ht="38.65" customHeight="1" x14ac:dyDescent="0.45">
      <c r="A4" s="90" t="s">
        <v>538</v>
      </c>
      <c r="B4" s="90"/>
      <c r="C4" s="90"/>
      <c r="D4" s="90"/>
      <c r="E4" s="90"/>
      <c r="F4" s="90"/>
      <c r="G4" s="90"/>
      <c r="H4" s="90"/>
      <c r="I4" s="90"/>
      <c r="J4" s="90"/>
      <c r="K4" s="9"/>
      <c r="L4" s="7"/>
      <c r="M4" s="9"/>
    </row>
    <row r="5" spans="1:13" ht="28.5" customHeight="1" x14ac:dyDescent="0.45">
      <c r="A5" s="103" t="s">
        <v>1</v>
      </c>
      <c r="B5" s="104"/>
      <c r="C5" s="105"/>
      <c r="D5" s="91" t="s">
        <v>2</v>
      </c>
      <c r="E5" s="93" t="s">
        <v>3</v>
      </c>
      <c r="F5" s="98" t="s">
        <v>4</v>
      </c>
      <c r="G5" s="99"/>
      <c r="H5" s="103" t="s">
        <v>485</v>
      </c>
      <c r="I5" s="105"/>
      <c r="J5" s="95" t="s">
        <v>479</v>
      </c>
      <c r="K5" s="109" t="s">
        <v>484</v>
      </c>
    </row>
    <row r="6" spans="1:13" ht="27.75" customHeight="1" x14ac:dyDescent="0.45">
      <c r="A6" s="106"/>
      <c r="B6" s="107"/>
      <c r="C6" s="108"/>
      <c r="D6" s="92"/>
      <c r="E6" s="94"/>
      <c r="F6" s="11" t="s">
        <v>5</v>
      </c>
      <c r="G6" s="11" t="s">
        <v>6</v>
      </c>
      <c r="H6" s="117"/>
      <c r="I6" s="118"/>
      <c r="J6" s="96"/>
      <c r="K6" s="110"/>
    </row>
    <row r="7" spans="1:13" s="17" customFormat="1" x14ac:dyDescent="0.45">
      <c r="A7" s="12"/>
      <c r="B7" s="13" t="s">
        <v>7</v>
      </c>
      <c r="C7" s="13" t="s">
        <v>280</v>
      </c>
      <c r="D7" s="14" t="s">
        <v>8</v>
      </c>
      <c r="E7" s="15" t="s">
        <v>9</v>
      </c>
      <c r="F7" s="16" t="s">
        <v>10</v>
      </c>
      <c r="G7" s="16" t="s">
        <v>10</v>
      </c>
      <c r="H7" s="119" t="s">
        <v>11</v>
      </c>
      <c r="I7" s="120"/>
      <c r="J7" s="97"/>
      <c r="K7" s="111"/>
      <c r="L7" s="7"/>
      <c r="M7" s="28"/>
    </row>
    <row r="8" spans="1:13" s="18" customFormat="1" ht="45" customHeight="1" x14ac:dyDescent="0.45">
      <c r="A8" s="100" t="s">
        <v>12</v>
      </c>
      <c r="B8" s="101"/>
      <c r="C8" s="102"/>
      <c r="D8" s="112">
        <v>2.5000000000000001E-2</v>
      </c>
      <c r="E8" s="85">
        <v>0</v>
      </c>
      <c r="F8" s="113"/>
      <c r="G8" s="85" t="str">
        <f>COUNTA(G10:G24) &amp; IF(COUNTA(G10:G24)=1, " bank: ", " banks: ") &amp; "                                 " &amp; IF(MIN(G10:G24)=MAX(G10:G24), MIN(G10:G24)*100 &amp; "%", MIN(G10:G24)*100 &amp; "%-" &amp; MAX(G10:G24)*100 &amp; "%")</f>
        <v>10 banks:                                  0.45%-1.75%</v>
      </c>
      <c r="H8" s="85" t="s">
        <v>466</v>
      </c>
      <c r="I8" s="85" t="s">
        <v>540</v>
      </c>
      <c r="J8" s="114" t="str">
        <f>IF(ISNUMBER(SEARCH("All", H8)), SUM(D10:E10) + H10, SUM(D10:E10))*100 &amp; "% - " &amp; MAX(J10:J24)*100 &amp; " %"</f>
        <v>2.5% - 5.25 %</v>
      </c>
      <c r="K8" s="115" t="s">
        <v>546</v>
      </c>
      <c r="L8" s="7"/>
      <c r="M8" s="29"/>
    </row>
    <row r="9" spans="1:13" s="18" customFormat="1" ht="30" customHeight="1" collapsed="1" x14ac:dyDescent="0.45">
      <c r="A9" s="76" t="s">
        <v>13</v>
      </c>
      <c r="B9" s="77"/>
      <c r="C9" s="78"/>
      <c r="D9" s="80"/>
      <c r="E9" s="82"/>
      <c r="F9" s="84"/>
      <c r="G9" s="82"/>
      <c r="H9" s="82"/>
      <c r="I9" s="82"/>
      <c r="J9" s="89"/>
      <c r="K9" s="116"/>
      <c r="L9" s="7"/>
      <c r="M9" s="29"/>
    </row>
    <row r="10" spans="1:13" ht="28.5" hidden="1" customHeight="1" outlineLevel="1" x14ac:dyDescent="0.45">
      <c r="A10" s="19"/>
      <c r="B10" s="22" t="s">
        <v>233</v>
      </c>
      <c r="C10" s="22" t="s">
        <v>266</v>
      </c>
      <c r="D10" s="30">
        <v>2.5000000000000001E-2</v>
      </c>
      <c r="E10" s="31">
        <v>0</v>
      </c>
      <c r="F10" s="31" t="s">
        <v>14</v>
      </c>
      <c r="G10" s="37">
        <v>8.9999999999999993E-3</v>
      </c>
      <c r="H10" s="37">
        <v>5.0000000000000001E-3</v>
      </c>
      <c r="I10" s="31" t="s">
        <v>497</v>
      </c>
      <c r="J10" s="32">
        <f>D10+E10+MAX(F10,G10)+H10</f>
        <v>3.9E-2</v>
      </c>
      <c r="K10" s="21"/>
    </row>
    <row r="11" spans="1:13" ht="28.5" hidden="1" customHeight="1" outlineLevel="1" x14ac:dyDescent="0.45">
      <c r="A11" s="19"/>
      <c r="B11" s="22" t="s">
        <v>15</v>
      </c>
      <c r="C11" s="22" t="s">
        <v>267</v>
      </c>
      <c r="D11" s="30">
        <v>2.5000000000000001E-2</v>
      </c>
      <c r="E11" s="31">
        <v>0</v>
      </c>
      <c r="F11" s="31" t="s">
        <v>14</v>
      </c>
      <c r="G11" s="54">
        <v>1.7500000000000002E-2</v>
      </c>
      <c r="H11" s="37">
        <v>0.01</v>
      </c>
      <c r="I11" s="31" t="s">
        <v>497</v>
      </c>
      <c r="J11" s="32">
        <f t="shared" ref="J11:J24" si="0">D11+E11+MAX(F11,G11)+H11</f>
        <v>5.2500000000000005E-2</v>
      </c>
      <c r="K11" s="49" t="s">
        <v>535</v>
      </c>
    </row>
    <row r="12" spans="1:13" ht="28.5" hidden="1" customHeight="1" outlineLevel="1" x14ac:dyDescent="0.45">
      <c r="A12" s="19"/>
      <c r="B12" s="22" t="s">
        <v>16</v>
      </c>
      <c r="C12" s="22" t="s">
        <v>268</v>
      </c>
      <c r="D12" s="30">
        <v>2.5000000000000001E-2</v>
      </c>
      <c r="E12" s="31">
        <v>0</v>
      </c>
      <c r="F12" s="31" t="s">
        <v>14</v>
      </c>
      <c r="G12" s="37">
        <v>8.9999999999999993E-3</v>
      </c>
      <c r="H12" s="37">
        <v>5.0000000000000001E-3</v>
      </c>
      <c r="I12" s="31" t="s">
        <v>497</v>
      </c>
      <c r="J12" s="32">
        <f t="shared" si="0"/>
        <v>3.9E-2</v>
      </c>
      <c r="K12" s="21"/>
    </row>
    <row r="13" spans="1:13" ht="28.5" hidden="1" customHeight="1" outlineLevel="1" x14ac:dyDescent="0.45">
      <c r="A13" s="19"/>
      <c r="B13" s="22" t="s">
        <v>17</v>
      </c>
      <c r="C13" s="22" t="s">
        <v>269</v>
      </c>
      <c r="D13" s="30">
        <v>2.5000000000000001E-2</v>
      </c>
      <c r="E13" s="31">
        <v>0</v>
      </c>
      <c r="F13" s="31" t="s">
        <v>14</v>
      </c>
      <c r="G13" s="39">
        <v>1.7500000000000002E-2</v>
      </c>
      <c r="H13" s="37">
        <v>0.01</v>
      </c>
      <c r="I13" s="31" t="s">
        <v>497</v>
      </c>
      <c r="J13" s="32">
        <f t="shared" si="0"/>
        <v>5.2500000000000005E-2</v>
      </c>
      <c r="K13" s="49" t="s">
        <v>535</v>
      </c>
    </row>
    <row r="14" spans="1:13" ht="28.5" hidden="1" customHeight="1" outlineLevel="1" x14ac:dyDescent="0.45">
      <c r="A14" s="19"/>
      <c r="B14" s="22" t="s">
        <v>18</v>
      </c>
      <c r="C14" s="22" t="s">
        <v>270</v>
      </c>
      <c r="D14" s="30">
        <v>2.5000000000000001E-2</v>
      </c>
      <c r="E14" s="31">
        <v>0</v>
      </c>
      <c r="F14" s="31" t="s">
        <v>14</v>
      </c>
      <c r="G14" s="41">
        <v>8.9999999999999993E-3</v>
      </c>
      <c r="H14" s="37">
        <v>5.0000000000000001E-3</v>
      </c>
      <c r="I14" s="31" t="s">
        <v>497</v>
      </c>
      <c r="J14" s="32">
        <f t="shared" si="0"/>
        <v>3.9E-2</v>
      </c>
      <c r="K14" s="21"/>
    </row>
    <row r="15" spans="1:13" ht="28.5" hidden="1" customHeight="1" outlineLevel="1" x14ac:dyDescent="0.45">
      <c r="A15" s="19"/>
      <c r="B15" s="22" t="s">
        <v>260</v>
      </c>
      <c r="C15" s="22" t="s">
        <v>271</v>
      </c>
      <c r="D15" s="30">
        <v>2.5000000000000001E-2</v>
      </c>
      <c r="E15" s="31">
        <v>0</v>
      </c>
      <c r="F15" s="31" t="s">
        <v>14</v>
      </c>
      <c r="G15" s="39">
        <v>1.7500000000000002E-2</v>
      </c>
      <c r="H15" s="37">
        <v>5.0000000000000001E-3</v>
      </c>
      <c r="I15" s="31" t="s">
        <v>497</v>
      </c>
      <c r="J15" s="32">
        <f t="shared" si="0"/>
        <v>4.7500000000000001E-2</v>
      </c>
      <c r="K15" s="21"/>
    </row>
    <row r="16" spans="1:13" ht="28.5" hidden="1" customHeight="1" outlineLevel="1" x14ac:dyDescent="0.45">
      <c r="A16" s="19"/>
      <c r="B16" s="22" t="s">
        <v>19</v>
      </c>
      <c r="C16" s="22" t="s">
        <v>272</v>
      </c>
      <c r="D16" s="30">
        <v>2.5000000000000001E-2</v>
      </c>
      <c r="E16" s="33">
        <v>0</v>
      </c>
      <c r="F16" s="33"/>
      <c r="G16" s="39"/>
      <c r="H16" s="37">
        <v>5.0000000000000001E-3</v>
      </c>
      <c r="I16" s="31" t="s">
        <v>497</v>
      </c>
      <c r="J16" s="32">
        <f t="shared" si="0"/>
        <v>3.0000000000000002E-2</v>
      </c>
      <c r="K16" s="21"/>
    </row>
    <row r="17" spans="1:13" ht="28.5" hidden="1" customHeight="1" outlineLevel="1" x14ac:dyDescent="0.45">
      <c r="A17" s="19"/>
      <c r="B17" s="22" t="s">
        <v>20</v>
      </c>
      <c r="C17" s="22" t="s">
        <v>273</v>
      </c>
      <c r="D17" s="30">
        <v>2.5000000000000001E-2</v>
      </c>
      <c r="E17" s="33">
        <v>0</v>
      </c>
      <c r="F17" s="33"/>
      <c r="G17" s="54"/>
      <c r="H17" s="37">
        <v>5.0000000000000001E-3</v>
      </c>
      <c r="I17" s="31" t="s">
        <v>497</v>
      </c>
      <c r="J17" s="56">
        <f t="shared" si="0"/>
        <v>3.0000000000000002E-2</v>
      </c>
      <c r="K17" s="21"/>
    </row>
    <row r="18" spans="1:13" ht="28.5" hidden="1" customHeight="1" outlineLevel="1" x14ac:dyDescent="0.45">
      <c r="A18" s="19"/>
      <c r="B18" s="22" t="s">
        <v>21</v>
      </c>
      <c r="C18" s="22" t="s">
        <v>274</v>
      </c>
      <c r="D18" s="30">
        <v>2.5000000000000001E-2</v>
      </c>
      <c r="E18" s="33">
        <v>0</v>
      </c>
      <c r="F18" s="33"/>
      <c r="G18" s="39"/>
      <c r="H18" s="37">
        <v>5.0000000000000001E-3</v>
      </c>
      <c r="I18" s="31" t="s">
        <v>497</v>
      </c>
      <c r="J18" s="32">
        <f t="shared" si="0"/>
        <v>3.0000000000000002E-2</v>
      </c>
      <c r="K18" s="21"/>
    </row>
    <row r="19" spans="1:13" ht="28.5" hidden="1" customHeight="1" outlineLevel="1" x14ac:dyDescent="0.45">
      <c r="A19" s="19"/>
      <c r="B19" s="22" t="s">
        <v>22</v>
      </c>
      <c r="C19" s="22" t="s">
        <v>275</v>
      </c>
      <c r="D19" s="30">
        <v>2.5000000000000001E-2</v>
      </c>
      <c r="E19" s="33">
        <v>0</v>
      </c>
      <c r="F19" s="33"/>
      <c r="G19" s="39"/>
      <c r="H19" s="37">
        <v>5.0000000000000001E-3</v>
      </c>
      <c r="I19" s="31" t="s">
        <v>497</v>
      </c>
      <c r="J19" s="32">
        <f t="shared" si="0"/>
        <v>3.0000000000000002E-2</v>
      </c>
      <c r="K19" s="21"/>
    </row>
    <row r="20" spans="1:13" ht="28.5" hidden="1" customHeight="1" outlineLevel="1" x14ac:dyDescent="0.45">
      <c r="A20" s="26"/>
      <c r="B20" s="24" t="s">
        <v>23</v>
      </c>
      <c r="C20" s="24" t="s">
        <v>276</v>
      </c>
      <c r="D20" s="30">
        <v>2.5000000000000001E-2</v>
      </c>
      <c r="E20" s="33">
        <v>0</v>
      </c>
      <c r="F20" s="34"/>
      <c r="G20" s="41">
        <v>8.9999999999999993E-3</v>
      </c>
      <c r="H20" s="37">
        <v>5.0000000000000001E-3</v>
      </c>
      <c r="I20" s="31" t="s">
        <v>497</v>
      </c>
      <c r="J20" s="32">
        <f t="shared" si="0"/>
        <v>3.9E-2</v>
      </c>
      <c r="K20" s="21"/>
    </row>
    <row r="21" spans="1:13" ht="28.5" hidden="1" customHeight="1" outlineLevel="1" x14ac:dyDescent="0.45">
      <c r="A21" s="26"/>
      <c r="B21" s="24" t="s">
        <v>24</v>
      </c>
      <c r="C21" s="24" t="s">
        <v>277</v>
      </c>
      <c r="D21" s="30">
        <v>2.5000000000000001E-2</v>
      </c>
      <c r="E21" s="33">
        <v>0</v>
      </c>
      <c r="F21" s="34"/>
      <c r="G21" s="37">
        <v>8.9999999999999993E-3</v>
      </c>
      <c r="H21" s="37">
        <v>5.0000000000000001E-3</v>
      </c>
      <c r="I21" s="31" t="s">
        <v>497</v>
      </c>
      <c r="J21" s="32">
        <f t="shared" si="0"/>
        <v>3.9E-2</v>
      </c>
      <c r="K21" s="21"/>
    </row>
    <row r="22" spans="1:13" ht="28.5" hidden="1" customHeight="1" outlineLevel="1" x14ac:dyDescent="0.45">
      <c r="A22" s="26"/>
      <c r="B22" s="24" t="s">
        <v>253</v>
      </c>
      <c r="C22" s="24" t="s">
        <v>278</v>
      </c>
      <c r="D22" s="30">
        <v>2.5000000000000001E-2</v>
      </c>
      <c r="E22" s="33">
        <v>0</v>
      </c>
      <c r="F22" s="34"/>
      <c r="G22" s="54"/>
      <c r="H22" s="37">
        <v>5.0000000000000001E-3</v>
      </c>
      <c r="I22" s="31" t="s">
        <v>497</v>
      </c>
      <c r="J22" s="32">
        <f t="shared" si="0"/>
        <v>3.0000000000000002E-2</v>
      </c>
      <c r="K22" s="21"/>
    </row>
    <row r="23" spans="1:13" ht="28.5" hidden="1" customHeight="1" outlineLevel="1" x14ac:dyDescent="0.45">
      <c r="A23" s="20"/>
      <c r="B23" s="24" t="s">
        <v>232</v>
      </c>
      <c r="C23" s="24" t="s">
        <v>279</v>
      </c>
      <c r="D23" s="30">
        <v>2.5000000000000001E-2</v>
      </c>
      <c r="E23" s="33">
        <v>0</v>
      </c>
      <c r="F23" s="34"/>
      <c r="G23" s="39">
        <v>4.4999999999999997E-3</v>
      </c>
      <c r="H23" s="37">
        <v>5.0000000000000001E-3</v>
      </c>
      <c r="I23" s="31" t="s">
        <v>497</v>
      </c>
      <c r="J23" s="32">
        <f t="shared" si="0"/>
        <v>3.4500000000000003E-2</v>
      </c>
      <c r="K23" s="21"/>
    </row>
    <row r="24" spans="1:13" ht="5.25" hidden="1" customHeight="1" outlineLevel="1" x14ac:dyDescent="0.45">
      <c r="A24" s="20"/>
      <c r="B24" s="24" t="s">
        <v>471</v>
      </c>
      <c r="C24" s="24" t="s">
        <v>472</v>
      </c>
      <c r="D24" s="30">
        <v>2.5000000000000001E-2</v>
      </c>
      <c r="E24" s="33">
        <v>0</v>
      </c>
      <c r="F24" s="34"/>
      <c r="G24" s="39">
        <v>4.4999999999999997E-3</v>
      </c>
      <c r="H24" s="39"/>
      <c r="I24" s="31" t="s">
        <v>497</v>
      </c>
      <c r="J24" s="32">
        <f t="shared" si="0"/>
        <v>2.9500000000000002E-2</v>
      </c>
      <c r="K24" s="21"/>
    </row>
    <row r="25" spans="1:13" s="18" customFormat="1" ht="40.15" customHeight="1" x14ac:dyDescent="0.45">
      <c r="A25" s="2" t="s">
        <v>25</v>
      </c>
      <c r="B25" s="74"/>
      <c r="C25" s="75"/>
      <c r="D25" s="79">
        <v>2.5000000000000001E-2</v>
      </c>
      <c r="E25" s="81">
        <v>0.01</v>
      </c>
      <c r="F25" s="83" t="s">
        <v>26</v>
      </c>
      <c r="G25" s="81" t="str">
        <f>COUNTA(G27:G35) &amp; IF(COUNTA(G27:G35)=1, " bank: ", " banks: ") &amp; "                                 " &amp; IF(MIN(G27:G35)=MAX(G27:G35), MIN(G27:G35)*100 &amp; "%", MIN(G27:G35)*100 &amp; "%-" &amp; MAX(G27:G35)*100 &amp; "%")</f>
        <v>8 banks:                                  0.75%-1.5%</v>
      </c>
      <c r="H25" s="81"/>
      <c r="I25" s="81" t="s">
        <v>532</v>
      </c>
      <c r="J25" s="88" t="str">
        <f>IF(ISNUMBER(SEARCH("All", H25)), SUM(D27:E27) + H27, SUM(D27:E27))*100 &amp; "% - " &amp; MAX(J27:J35)*100 &amp; " %"</f>
        <v>3.5% - 5 %</v>
      </c>
      <c r="K25" s="86" t="s">
        <v>579</v>
      </c>
      <c r="L25" s="7"/>
      <c r="M25" s="29"/>
    </row>
    <row r="26" spans="1:13" s="18" customFormat="1" ht="48.6" customHeight="1" collapsed="1" x14ac:dyDescent="0.45">
      <c r="A26" s="76" t="s">
        <v>27</v>
      </c>
      <c r="B26" s="77"/>
      <c r="C26" s="78"/>
      <c r="D26" s="80"/>
      <c r="E26" s="82"/>
      <c r="F26" s="84"/>
      <c r="G26" s="82"/>
      <c r="H26" s="82"/>
      <c r="I26" s="82"/>
      <c r="J26" s="89"/>
      <c r="K26" s="87"/>
      <c r="L26" s="7"/>
      <c r="M26" s="29"/>
    </row>
    <row r="27" spans="1:13" ht="28.5" hidden="1" customHeight="1" outlineLevel="1" x14ac:dyDescent="0.45">
      <c r="A27" s="19"/>
      <c r="B27" s="22" t="s">
        <v>258</v>
      </c>
      <c r="C27" s="22" t="s">
        <v>281</v>
      </c>
      <c r="D27" s="30">
        <v>2.5000000000000001E-2</v>
      </c>
      <c r="E27" s="33">
        <v>0.01</v>
      </c>
      <c r="F27" s="33" t="s">
        <v>14</v>
      </c>
      <c r="G27" s="39">
        <v>7.4999999999999997E-3</v>
      </c>
      <c r="H27" s="31"/>
      <c r="I27" s="31" t="s">
        <v>493</v>
      </c>
      <c r="J27" s="32">
        <f t="shared" ref="J27:J35" si="1">SUM(D27:I27)</f>
        <v>4.2500000000000003E-2</v>
      </c>
      <c r="K27" s="21"/>
    </row>
    <row r="28" spans="1:13" ht="28.5" hidden="1" customHeight="1" outlineLevel="1" x14ac:dyDescent="0.45">
      <c r="A28" s="19"/>
      <c r="B28" s="22" t="s">
        <v>251</v>
      </c>
      <c r="C28" s="22" t="s">
        <v>282</v>
      </c>
      <c r="D28" s="30">
        <v>2.5000000000000001E-2</v>
      </c>
      <c r="E28" s="33">
        <v>0.01</v>
      </c>
      <c r="F28" s="33" t="s">
        <v>14</v>
      </c>
      <c r="G28" s="39">
        <v>7.4999999999999997E-3</v>
      </c>
      <c r="H28" s="31"/>
      <c r="I28" s="31" t="s">
        <v>493</v>
      </c>
      <c r="J28" s="32">
        <f t="shared" si="1"/>
        <v>4.2500000000000003E-2</v>
      </c>
      <c r="K28" s="21"/>
    </row>
    <row r="29" spans="1:13" ht="28.5" hidden="1" customHeight="1" outlineLevel="1" x14ac:dyDescent="0.45">
      <c r="A29" s="26"/>
      <c r="B29" s="24" t="s">
        <v>28</v>
      </c>
      <c r="C29" s="24" t="s">
        <v>283</v>
      </c>
      <c r="D29" s="30">
        <v>2.5000000000000001E-2</v>
      </c>
      <c r="E29" s="33">
        <v>0.01</v>
      </c>
      <c r="F29" s="34" t="s">
        <v>14</v>
      </c>
      <c r="G29" s="37">
        <v>1.4999999999999999E-2</v>
      </c>
      <c r="H29" s="31"/>
      <c r="I29" s="31" t="s">
        <v>493</v>
      </c>
      <c r="J29" s="32">
        <f t="shared" si="1"/>
        <v>0.05</v>
      </c>
      <c r="K29" s="21"/>
    </row>
    <row r="30" spans="1:13" ht="28.5" hidden="1" customHeight="1" outlineLevel="1" x14ac:dyDescent="0.45">
      <c r="A30" s="26"/>
      <c r="B30" s="24" t="s">
        <v>29</v>
      </c>
      <c r="C30" s="24" t="s">
        <v>284</v>
      </c>
      <c r="D30" s="30">
        <v>2.5000000000000001E-2</v>
      </c>
      <c r="E30" s="33">
        <v>0.01</v>
      </c>
      <c r="F30" s="34" t="s">
        <v>14</v>
      </c>
      <c r="G30" s="37">
        <v>1.4999999999999999E-2</v>
      </c>
      <c r="H30" s="31"/>
      <c r="I30" s="31" t="s">
        <v>493</v>
      </c>
      <c r="J30" s="32">
        <f t="shared" si="1"/>
        <v>0.05</v>
      </c>
      <c r="K30" s="21"/>
    </row>
    <row r="31" spans="1:13" ht="28.5" hidden="1" customHeight="1" outlineLevel="1" x14ac:dyDescent="0.45">
      <c r="A31" s="26"/>
      <c r="B31" s="22" t="s">
        <v>529</v>
      </c>
      <c r="C31" s="24" t="s">
        <v>285</v>
      </c>
      <c r="D31" s="30">
        <v>2.5000000000000001E-2</v>
      </c>
      <c r="E31" s="33">
        <v>0.01</v>
      </c>
      <c r="F31" s="34" t="s">
        <v>14</v>
      </c>
      <c r="G31" s="37">
        <v>1.4999999999999999E-2</v>
      </c>
      <c r="H31" s="31"/>
      <c r="I31" s="31" t="s">
        <v>14</v>
      </c>
      <c r="J31" s="32">
        <f t="shared" si="1"/>
        <v>0.05</v>
      </c>
      <c r="K31" s="21"/>
    </row>
    <row r="32" spans="1:13" ht="28.5" hidden="1" customHeight="1" outlineLevel="1" x14ac:dyDescent="0.45">
      <c r="A32" s="20"/>
      <c r="B32" s="24" t="s">
        <v>30</v>
      </c>
      <c r="C32" s="24" t="s">
        <v>286</v>
      </c>
      <c r="D32" s="30">
        <v>2.5000000000000001E-2</v>
      </c>
      <c r="E32" s="33">
        <v>0.01</v>
      </c>
      <c r="F32" s="34" t="s">
        <v>14</v>
      </c>
      <c r="G32" s="37">
        <v>1.4999999999999999E-2</v>
      </c>
      <c r="H32" s="31"/>
      <c r="I32" s="31" t="s">
        <v>493</v>
      </c>
      <c r="J32" s="32">
        <f t="shared" si="1"/>
        <v>0.05</v>
      </c>
      <c r="K32" s="21"/>
    </row>
    <row r="33" spans="1:13" ht="28.5" hidden="1" customHeight="1" outlineLevel="1" x14ac:dyDescent="0.45">
      <c r="A33" s="20"/>
      <c r="B33" s="24" t="s">
        <v>31</v>
      </c>
      <c r="C33" s="24" t="s">
        <v>287</v>
      </c>
      <c r="D33" s="30">
        <v>2.5000000000000001E-2</v>
      </c>
      <c r="E33" s="33">
        <v>0.01</v>
      </c>
      <c r="F33" s="34" t="s">
        <v>14</v>
      </c>
      <c r="G33" s="37">
        <v>1.4999999999999999E-2</v>
      </c>
      <c r="H33" s="31"/>
      <c r="I33" s="31" t="s">
        <v>493</v>
      </c>
      <c r="J33" s="32">
        <f t="shared" si="1"/>
        <v>0.05</v>
      </c>
      <c r="K33" s="21"/>
    </row>
    <row r="34" spans="1:13" ht="28.5" hidden="1" customHeight="1" outlineLevel="1" x14ac:dyDescent="0.45">
      <c r="A34" s="19"/>
      <c r="B34" s="22" t="s">
        <v>32</v>
      </c>
      <c r="C34" s="22" t="s">
        <v>288</v>
      </c>
      <c r="D34" s="30">
        <v>2.5000000000000001E-2</v>
      </c>
      <c r="E34" s="33">
        <v>0.01</v>
      </c>
      <c r="F34" s="33" t="s">
        <v>14</v>
      </c>
      <c r="G34" s="39">
        <v>7.4999999999999997E-3</v>
      </c>
      <c r="H34" s="31"/>
      <c r="I34" s="31" t="s">
        <v>14</v>
      </c>
      <c r="J34" s="32">
        <f t="shared" si="1"/>
        <v>4.2500000000000003E-2</v>
      </c>
      <c r="K34" s="21"/>
    </row>
    <row r="35" spans="1:13" ht="28.5" hidden="1" customHeight="1" outlineLevel="1" x14ac:dyDescent="0.45">
      <c r="A35" s="26"/>
      <c r="B35" s="24" t="s">
        <v>494</v>
      </c>
      <c r="C35" s="24" t="s">
        <v>495</v>
      </c>
      <c r="D35" s="30">
        <v>2.5000000000000001E-2</v>
      </c>
      <c r="E35" s="33">
        <v>0.01</v>
      </c>
      <c r="F35" s="34"/>
      <c r="G35" s="39"/>
      <c r="H35" s="31"/>
      <c r="I35" s="31" t="s">
        <v>493</v>
      </c>
      <c r="J35" s="32">
        <f t="shared" si="1"/>
        <v>3.5000000000000003E-2</v>
      </c>
      <c r="K35" s="21"/>
    </row>
    <row r="36" spans="1:13" s="18" customFormat="1" ht="30" customHeight="1" x14ac:dyDescent="0.45">
      <c r="A36" s="2" t="s">
        <v>33</v>
      </c>
      <c r="B36" s="74"/>
      <c r="C36" s="75"/>
      <c r="D36" s="79">
        <v>2.5000000000000001E-2</v>
      </c>
      <c r="E36" s="81">
        <v>0.02</v>
      </c>
      <c r="F36" s="83" t="s">
        <v>26</v>
      </c>
      <c r="G36" s="81" t="str">
        <f>COUNTA(G38:G43) &amp; IF(COUNTA(G38:G43)=1, " bank: ", " banks: ") &amp; "                                 " &amp; IF(MIN(G38:G43)=MAX(G38:G43), MIN(G38:G43)*100 &amp; "%", MIN(G38:G43)*100 &amp; "%-" &amp; MAX(G38:G43)*100 &amp; "%")</f>
        <v>6 banks:                                  0.5%-1%</v>
      </c>
      <c r="H36" s="81" t="s">
        <v>222</v>
      </c>
      <c r="I36" s="81"/>
      <c r="J36" s="88" t="str">
        <f>IF(ISNUMBER(SEARCH("All", H36)), SUM(D38:E38) + H38, SUM(D38:E38))*100 &amp; "% - " &amp; MAX(J38:J43)*100 &amp; " %"</f>
        <v>7.5% - 8.5 %</v>
      </c>
      <c r="K36" s="86" t="s">
        <v>547</v>
      </c>
      <c r="L36" s="7"/>
      <c r="M36" s="29"/>
    </row>
    <row r="37" spans="1:13" s="18" customFormat="1" ht="30" customHeight="1" collapsed="1" x14ac:dyDescent="0.45">
      <c r="A37" s="76" t="s">
        <v>34</v>
      </c>
      <c r="B37" s="77"/>
      <c r="C37" s="78"/>
      <c r="D37" s="80"/>
      <c r="E37" s="82"/>
      <c r="F37" s="84"/>
      <c r="G37" s="82"/>
      <c r="H37" s="82"/>
      <c r="I37" s="82"/>
      <c r="J37" s="89"/>
      <c r="K37" s="87"/>
      <c r="L37" s="7"/>
      <c r="M37" s="29"/>
    </row>
    <row r="38" spans="1:13" ht="28.5" hidden="1" customHeight="1" outlineLevel="1" x14ac:dyDescent="0.45">
      <c r="A38" s="19"/>
      <c r="B38" s="22" t="s">
        <v>518</v>
      </c>
      <c r="C38" s="22" t="s">
        <v>289</v>
      </c>
      <c r="D38" s="30">
        <v>2.5000000000000001E-2</v>
      </c>
      <c r="E38" s="33">
        <v>0.02</v>
      </c>
      <c r="F38" s="33" t="s">
        <v>26</v>
      </c>
      <c r="G38" s="37">
        <v>5.0000000000000001E-3</v>
      </c>
      <c r="H38" s="31">
        <v>0.03</v>
      </c>
      <c r="I38" s="31"/>
      <c r="J38" s="32">
        <f t="shared" ref="J38:J43" si="2">D38+E38+MAX(F38,G38)+H38</f>
        <v>7.9999999999999988E-2</v>
      </c>
      <c r="K38" s="21"/>
    </row>
    <row r="39" spans="1:13" ht="28.5" hidden="1" customHeight="1" outlineLevel="1" x14ac:dyDescent="0.45">
      <c r="A39" s="19"/>
      <c r="B39" s="22" t="s">
        <v>35</v>
      </c>
      <c r="C39" s="22" t="s">
        <v>290</v>
      </c>
      <c r="D39" s="30">
        <v>2.5000000000000001E-2</v>
      </c>
      <c r="E39" s="33">
        <v>0.02</v>
      </c>
      <c r="F39" s="33" t="s">
        <v>26</v>
      </c>
      <c r="G39" s="37">
        <v>0.01</v>
      </c>
      <c r="H39" s="31">
        <v>0.03</v>
      </c>
      <c r="I39" s="31"/>
      <c r="J39" s="32">
        <f t="shared" si="2"/>
        <v>8.4999999999999992E-2</v>
      </c>
      <c r="K39" s="21"/>
    </row>
    <row r="40" spans="1:13" ht="28.5" hidden="1" customHeight="1" outlineLevel="1" x14ac:dyDescent="0.45">
      <c r="A40" s="26"/>
      <c r="B40" s="24" t="s">
        <v>36</v>
      </c>
      <c r="C40" s="24" t="s">
        <v>291</v>
      </c>
      <c r="D40" s="30">
        <v>2.5000000000000001E-2</v>
      </c>
      <c r="E40" s="33">
        <v>0.02</v>
      </c>
      <c r="F40" s="34" t="s">
        <v>26</v>
      </c>
      <c r="G40" s="39">
        <v>7.4999999999999997E-3</v>
      </c>
      <c r="H40" s="31">
        <v>0.03</v>
      </c>
      <c r="I40" s="31"/>
      <c r="J40" s="32">
        <f t="shared" si="2"/>
        <v>8.249999999999999E-2</v>
      </c>
      <c r="K40" s="58" t="s">
        <v>548</v>
      </c>
    </row>
    <row r="41" spans="1:13" ht="28.5" hidden="1" customHeight="1" outlineLevel="1" x14ac:dyDescent="0.45">
      <c r="A41" s="26"/>
      <c r="B41" s="24" t="s">
        <v>234</v>
      </c>
      <c r="C41" s="24" t="s">
        <v>292</v>
      </c>
      <c r="D41" s="30">
        <v>2.5000000000000001E-2</v>
      </c>
      <c r="E41" s="33">
        <v>0.02</v>
      </c>
      <c r="F41" s="34" t="s">
        <v>26</v>
      </c>
      <c r="G41" s="37">
        <v>0.01</v>
      </c>
      <c r="H41" s="31">
        <v>0.03</v>
      </c>
      <c r="I41" s="31"/>
      <c r="J41" s="32">
        <f t="shared" si="2"/>
        <v>8.4999999999999992E-2</v>
      </c>
      <c r="K41" s="21"/>
    </row>
    <row r="42" spans="1:13" ht="28.5" hidden="1" customHeight="1" outlineLevel="1" x14ac:dyDescent="0.45">
      <c r="A42" s="26"/>
      <c r="B42" s="24" t="s">
        <v>37</v>
      </c>
      <c r="C42" s="24" t="s">
        <v>293</v>
      </c>
      <c r="D42" s="30">
        <v>2.5000000000000001E-2</v>
      </c>
      <c r="E42" s="33">
        <v>0.02</v>
      </c>
      <c r="F42" s="34" t="s">
        <v>26</v>
      </c>
      <c r="G42" s="39">
        <v>7.4999999999999997E-3</v>
      </c>
      <c r="H42" s="31">
        <v>0.03</v>
      </c>
      <c r="I42" s="31"/>
      <c r="J42" s="32">
        <f t="shared" si="2"/>
        <v>8.249999999999999E-2</v>
      </c>
      <c r="K42" s="21"/>
    </row>
    <row r="43" spans="1:13" ht="28.5" hidden="1" customHeight="1" outlineLevel="1" x14ac:dyDescent="0.45">
      <c r="A43" s="20"/>
      <c r="B43" s="24" t="s">
        <v>38</v>
      </c>
      <c r="C43" s="24" t="s">
        <v>294</v>
      </c>
      <c r="D43" s="30">
        <v>2.5000000000000001E-2</v>
      </c>
      <c r="E43" s="33">
        <v>0.02</v>
      </c>
      <c r="F43" s="34" t="s">
        <v>26</v>
      </c>
      <c r="G43" s="37">
        <v>0.01</v>
      </c>
      <c r="H43" s="31">
        <v>0.03</v>
      </c>
      <c r="I43" s="31"/>
      <c r="J43" s="32">
        <f t="shared" si="2"/>
        <v>8.4999999999999992E-2</v>
      </c>
      <c r="K43" s="21"/>
    </row>
    <row r="44" spans="1:13" s="18" customFormat="1" ht="43.15" customHeight="1" x14ac:dyDescent="0.45">
      <c r="A44" s="2" t="s">
        <v>39</v>
      </c>
      <c r="B44" s="74"/>
      <c r="C44" s="75"/>
      <c r="D44" s="79">
        <v>2.5000000000000001E-2</v>
      </c>
      <c r="E44" s="79">
        <v>1.4999999999999999E-2</v>
      </c>
      <c r="F44" s="83" t="s">
        <v>26</v>
      </c>
      <c r="G44" s="81" t="str">
        <f>COUNTA(G46:G52) &amp; IF(COUNTA(G46:G52)=1, " bank: ", " banks: ") &amp; "                                 " &amp; IF(MIN(G46:G52)=MAX(G46:G52), MIN(G46:G52)*100 &amp; "%", MIN(G46:G52)*100 &amp; "%-" &amp; MAX(G46:G52)*100 &amp; "%")</f>
        <v>7 banks:                                  0.25%-2.5%</v>
      </c>
      <c r="H44" s="81" t="s">
        <v>220</v>
      </c>
      <c r="I44" s="81"/>
      <c r="J44" s="88" t="str">
        <f>IF(ISNUMBER(SEARCH("All", H44)), SUM(D46:E46) + H46, SUM(D46:E46))*100 &amp; "% - " &amp; MAX(J46:J52)*100 &amp; " %"</f>
        <v>5.5% - 8 %</v>
      </c>
      <c r="K44" s="86" t="s">
        <v>589</v>
      </c>
      <c r="L44" s="7"/>
      <c r="M44" s="29"/>
    </row>
    <row r="45" spans="1:13" s="18" customFormat="1" ht="30" customHeight="1" collapsed="1" x14ac:dyDescent="0.45">
      <c r="A45" s="76" t="s">
        <v>40</v>
      </c>
      <c r="B45" s="77"/>
      <c r="C45" s="78"/>
      <c r="D45" s="80"/>
      <c r="E45" s="80"/>
      <c r="F45" s="84"/>
      <c r="G45" s="82"/>
      <c r="H45" s="82"/>
      <c r="I45" s="82"/>
      <c r="J45" s="89"/>
      <c r="K45" s="87"/>
      <c r="L45" s="7"/>
      <c r="M45" s="29"/>
    </row>
    <row r="46" spans="1:13" ht="28.5" hidden="1" customHeight="1" outlineLevel="1" x14ac:dyDescent="0.45">
      <c r="A46" s="19"/>
      <c r="B46" s="22" t="s">
        <v>41</v>
      </c>
      <c r="C46" s="22" t="s">
        <v>295</v>
      </c>
      <c r="D46" s="30">
        <v>2.5000000000000001E-2</v>
      </c>
      <c r="E46" s="33">
        <v>1.4999999999999999E-2</v>
      </c>
      <c r="F46" s="33" t="s">
        <v>26</v>
      </c>
      <c r="G46" s="37">
        <v>0.02</v>
      </c>
      <c r="H46" s="31">
        <v>1.4999999999999999E-2</v>
      </c>
      <c r="I46" s="31"/>
      <c r="J46" s="32">
        <f t="shared" ref="J46:J52" si="3">D46+E46+MAX(F46,G46)+H46</f>
        <v>7.4999999999999997E-2</v>
      </c>
      <c r="K46" s="21"/>
    </row>
    <row r="47" spans="1:13" ht="28.5" hidden="1" customHeight="1" outlineLevel="1" x14ac:dyDescent="0.45">
      <c r="A47" s="19"/>
      <c r="B47" s="22" t="s">
        <v>42</v>
      </c>
      <c r="C47" s="22" t="s">
        <v>296</v>
      </c>
      <c r="D47" s="30">
        <v>2.5000000000000001E-2</v>
      </c>
      <c r="E47" s="33">
        <v>1.4999999999999999E-2</v>
      </c>
      <c r="F47" s="33" t="s">
        <v>26</v>
      </c>
      <c r="G47" s="37">
        <v>0.01</v>
      </c>
      <c r="H47" s="31">
        <v>1.4999999999999999E-2</v>
      </c>
      <c r="I47" s="31"/>
      <c r="J47" s="32">
        <f t="shared" si="3"/>
        <v>6.5000000000000002E-2</v>
      </c>
      <c r="K47" s="21"/>
    </row>
    <row r="48" spans="1:13" ht="28.5" hidden="1" customHeight="1" outlineLevel="1" x14ac:dyDescent="0.45">
      <c r="A48" s="26"/>
      <c r="B48" s="24" t="s">
        <v>223</v>
      </c>
      <c r="C48" s="24" t="s">
        <v>297</v>
      </c>
      <c r="D48" s="30">
        <v>2.5000000000000001E-2</v>
      </c>
      <c r="E48" s="33">
        <v>1.4999999999999999E-2</v>
      </c>
      <c r="F48" s="34" t="s">
        <v>26</v>
      </c>
      <c r="G48" s="39">
        <v>2.5000000000000001E-3</v>
      </c>
      <c r="H48" s="31">
        <v>1.4999999999999999E-2</v>
      </c>
      <c r="I48" s="31"/>
      <c r="J48" s="32">
        <f t="shared" si="3"/>
        <v>5.7500000000000002E-2</v>
      </c>
      <c r="K48" s="21"/>
    </row>
    <row r="49" spans="1:13" ht="28.5" hidden="1" customHeight="1" outlineLevel="1" x14ac:dyDescent="0.45">
      <c r="A49" s="26"/>
      <c r="B49" s="24" t="s">
        <v>43</v>
      </c>
      <c r="C49" s="24" t="s">
        <v>298</v>
      </c>
      <c r="D49" s="30">
        <v>2.5000000000000001E-2</v>
      </c>
      <c r="E49" s="33">
        <v>1.4999999999999999E-2</v>
      </c>
      <c r="F49" s="34" t="s">
        <v>26</v>
      </c>
      <c r="G49" s="37">
        <v>1.4999999999999999E-2</v>
      </c>
      <c r="H49" s="31">
        <v>1.4999999999999999E-2</v>
      </c>
      <c r="I49" s="31"/>
      <c r="J49" s="32">
        <f t="shared" si="3"/>
        <v>7.0000000000000007E-2</v>
      </c>
      <c r="K49" s="21"/>
    </row>
    <row r="50" spans="1:13" ht="28.5" hidden="1" customHeight="1" outlineLevel="1" x14ac:dyDescent="0.45">
      <c r="A50" s="26"/>
      <c r="B50" s="24" t="s">
        <v>44</v>
      </c>
      <c r="C50" s="24" t="s">
        <v>299</v>
      </c>
      <c r="D50" s="30">
        <v>2.5000000000000001E-2</v>
      </c>
      <c r="E50" s="33">
        <v>1.4999999999999999E-2</v>
      </c>
      <c r="F50" s="34" t="s">
        <v>26</v>
      </c>
      <c r="G50" s="37">
        <v>0.02</v>
      </c>
      <c r="H50" s="31">
        <v>1.4999999999999999E-2</v>
      </c>
      <c r="I50" s="31"/>
      <c r="J50" s="32">
        <f t="shared" si="3"/>
        <v>7.4999999999999997E-2</v>
      </c>
      <c r="K50" s="21" t="s">
        <v>549</v>
      </c>
    </row>
    <row r="51" spans="1:13" ht="28.5" hidden="1" customHeight="1" outlineLevel="1" x14ac:dyDescent="0.45">
      <c r="A51" s="20"/>
      <c r="B51" s="24" t="s">
        <v>45</v>
      </c>
      <c r="C51" s="24" t="s">
        <v>300</v>
      </c>
      <c r="D51" s="30">
        <v>2.5000000000000001E-2</v>
      </c>
      <c r="E51" s="33">
        <v>1.4999999999999999E-2</v>
      </c>
      <c r="F51" s="34" t="s">
        <v>26</v>
      </c>
      <c r="G51" s="37">
        <v>1.4999999999999999E-2</v>
      </c>
      <c r="H51" s="31">
        <v>1.4999999999999999E-2</v>
      </c>
      <c r="I51" s="31"/>
      <c r="J51" s="32">
        <f t="shared" si="3"/>
        <v>7.0000000000000007E-2</v>
      </c>
      <c r="K51" s="21"/>
    </row>
    <row r="52" spans="1:13" ht="28.5" hidden="1" customHeight="1" outlineLevel="1" x14ac:dyDescent="0.45">
      <c r="A52" s="19"/>
      <c r="B52" s="22" t="s">
        <v>46</v>
      </c>
      <c r="C52" s="22" t="s">
        <v>301</v>
      </c>
      <c r="D52" s="30">
        <v>2.5000000000000001E-2</v>
      </c>
      <c r="E52" s="33">
        <v>1.4999999999999999E-2</v>
      </c>
      <c r="F52" s="33" t="s">
        <v>26</v>
      </c>
      <c r="G52" s="39">
        <v>2.5000000000000001E-2</v>
      </c>
      <c r="H52" s="31">
        <v>1.4999999999999999E-2</v>
      </c>
      <c r="I52" s="31"/>
      <c r="J52" s="32">
        <f t="shared" si="3"/>
        <v>0.08</v>
      </c>
      <c r="K52" s="71" t="s">
        <v>583</v>
      </c>
    </row>
    <row r="53" spans="1:13" s="18" customFormat="1" ht="30" customHeight="1" x14ac:dyDescent="0.45">
      <c r="A53" s="2" t="s">
        <v>47</v>
      </c>
      <c r="B53" s="74"/>
      <c r="C53" s="75"/>
      <c r="D53" s="79">
        <v>2.5000000000000001E-2</v>
      </c>
      <c r="E53" s="81">
        <v>0.01</v>
      </c>
      <c r="F53" s="83" t="s">
        <v>26</v>
      </c>
      <c r="G53" s="81" t="str">
        <f>COUNTA(G55:G57) &amp; IF(COUNTA(G55:G57)=1, " bank: ", " banks: ") &amp; "                                 " &amp; IF(MIN(G55:G57)=MAX(G55:G57), MIN(G55:G57)*100 &amp; "%", MIN(G55:G57)*100 &amp; "%-" &amp; MAX(G55:G57)*100 &amp; "%")</f>
        <v>3 banks:                                  0.25%-1.9375%</v>
      </c>
      <c r="H53" s="81"/>
      <c r="I53" s="81" t="s">
        <v>26</v>
      </c>
      <c r="J53" s="88" t="str">
        <f>IF(ISNUMBER(SEARCH("All", H53)), SUM(D55:E55) + H55, SUM(D55:E55))*100 &amp; "% - " &amp; MAX(J55:J57)*100 &amp; " %"</f>
        <v>3.5% - 5.4375 %</v>
      </c>
      <c r="K53" s="86" t="s">
        <v>550</v>
      </c>
      <c r="L53" s="7"/>
      <c r="M53" s="29"/>
    </row>
    <row r="54" spans="1:13" s="18" customFormat="1" ht="30" customHeight="1" collapsed="1" x14ac:dyDescent="0.45">
      <c r="A54" s="76" t="s">
        <v>48</v>
      </c>
      <c r="B54" s="77"/>
      <c r="C54" s="78"/>
      <c r="D54" s="80"/>
      <c r="E54" s="82"/>
      <c r="F54" s="84"/>
      <c r="G54" s="82"/>
      <c r="H54" s="82"/>
      <c r="I54" s="82"/>
      <c r="J54" s="89"/>
      <c r="K54" s="87"/>
      <c r="L54" s="7"/>
      <c r="M54" s="29"/>
    </row>
    <row r="55" spans="1:13" ht="28.5" hidden="1" customHeight="1" outlineLevel="1" x14ac:dyDescent="0.45">
      <c r="A55" s="19"/>
      <c r="B55" s="22" t="s">
        <v>49</v>
      </c>
      <c r="C55" s="22" t="s">
        <v>302</v>
      </c>
      <c r="D55" s="30">
        <v>2.5000000000000001E-2</v>
      </c>
      <c r="E55" s="33">
        <v>0.01</v>
      </c>
      <c r="F55" s="33" t="s">
        <v>14</v>
      </c>
      <c r="G55" s="39">
        <v>2.5000000000000001E-3</v>
      </c>
      <c r="H55" s="31"/>
      <c r="I55" s="31" t="s">
        <v>14</v>
      </c>
      <c r="J55" s="32">
        <f>D55+E55+MAX(F55,G55)+H55</f>
        <v>3.7500000000000006E-2</v>
      </c>
      <c r="K55" s="21" t="s">
        <v>551</v>
      </c>
    </row>
    <row r="56" spans="1:13" ht="28.5" hidden="1" customHeight="1" outlineLevel="1" x14ac:dyDescent="0.45">
      <c r="A56" s="19"/>
      <c r="B56" s="22" t="s">
        <v>50</v>
      </c>
      <c r="C56" s="22" t="s">
        <v>303</v>
      </c>
      <c r="D56" s="30">
        <v>2.5000000000000001E-2</v>
      </c>
      <c r="E56" s="33">
        <v>0.01</v>
      </c>
      <c r="F56" s="33" t="s">
        <v>14</v>
      </c>
      <c r="G56" s="55">
        <v>1.9375E-2</v>
      </c>
      <c r="H56" s="31"/>
      <c r="I56" s="31" t="s">
        <v>14</v>
      </c>
      <c r="J56" s="32">
        <f>D56+E56+MAX(F56,G56)+H56</f>
        <v>5.4375000000000007E-2</v>
      </c>
      <c r="K56" s="21" t="s">
        <v>588</v>
      </c>
    </row>
    <row r="57" spans="1:13" ht="45.6" hidden="1" customHeight="1" outlineLevel="1" x14ac:dyDescent="0.45">
      <c r="A57" s="26"/>
      <c r="B57" s="24" t="s">
        <v>552</v>
      </c>
      <c r="C57" s="24" t="s">
        <v>304</v>
      </c>
      <c r="D57" s="30">
        <v>2.5000000000000001E-2</v>
      </c>
      <c r="E57" s="33">
        <v>0.01</v>
      </c>
      <c r="F57" s="34" t="s">
        <v>14</v>
      </c>
      <c r="G57" s="43">
        <v>1.7500000000000002E-2</v>
      </c>
      <c r="H57" s="31"/>
      <c r="I57" s="31" t="s">
        <v>14</v>
      </c>
      <c r="J57" s="32">
        <f>D57+E57+MAX(F57,G57)+H57</f>
        <v>5.2500000000000005E-2</v>
      </c>
      <c r="K57" s="71" t="s">
        <v>582</v>
      </c>
    </row>
    <row r="58" spans="1:13" s="18" customFormat="1" ht="30" customHeight="1" x14ac:dyDescent="0.45">
      <c r="A58" s="2" t="s">
        <v>51</v>
      </c>
      <c r="B58" s="74"/>
      <c r="C58" s="75"/>
      <c r="D58" s="79">
        <v>2.5000000000000001E-2</v>
      </c>
      <c r="E58" s="81">
        <v>1.2500000000000001E-2</v>
      </c>
      <c r="F58" s="83" t="s">
        <v>26</v>
      </c>
      <c r="G58" s="81" t="str">
        <f>COUNTA(G60:G66) &amp; IF(COUNTA(G60:G66)=1, " bank: ", " banks: ") &amp; "                                 " &amp; IF(MIN(G60:G66)=MAX(G60:G66), MIN(G60:G66)*100 &amp; "%", MIN(G60:G66)*100 &amp; "%-" &amp; MAX(G60:G66)*100 &amp; "%")</f>
        <v>7 banks:                                  0.5%-2.5%</v>
      </c>
      <c r="H58" s="81" t="s">
        <v>530</v>
      </c>
      <c r="I58" s="81"/>
      <c r="J58" s="88" t="str">
        <f>IF(ISNUMBER(SEARCH("All", H58)), SUM(D60:E60) + H60, SUM(D60:E60))*100 &amp; "% - " &amp; MAX(J60:J65)*100 &amp; " %"</f>
        <v>4.25% - 6.75 %</v>
      </c>
      <c r="K58" s="86" t="s">
        <v>573</v>
      </c>
      <c r="L58" s="7"/>
      <c r="M58" s="29"/>
    </row>
    <row r="59" spans="1:13" s="18" customFormat="1" ht="30" customHeight="1" collapsed="1" x14ac:dyDescent="0.45">
      <c r="A59" s="76" t="s">
        <v>52</v>
      </c>
      <c r="B59" s="77"/>
      <c r="C59" s="78"/>
      <c r="D59" s="80"/>
      <c r="E59" s="82"/>
      <c r="F59" s="84"/>
      <c r="G59" s="82"/>
      <c r="H59" s="82"/>
      <c r="I59" s="82"/>
      <c r="J59" s="89"/>
      <c r="K59" s="87"/>
      <c r="L59" s="7"/>
      <c r="M59" s="29"/>
    </row>
    <row r="60" spans="1:13" ht="28.5" hidden="1" customHeight="1" outlineLevel="1" x14ac:dyDescent="0.45">
      <c r="A60" s="19"/>
      <c r="B60" s="22" t="s">
        <v>53</v>
      </c>
      <c r="C60" s="22" t="s">
        <v>384</v>
      </c>
      <c r="D60" s="30">
        <v>2.5000000000000001E-2</v>
      </c>
      <c r="E60" s="33">
        <v>1.2500000000000001E-2</v>
      </c>
      <c r="F60" s="33"/>
      <c r="G60" s="37">
        <v>2.5000000000000001E-2</v>
      </c>
      <c r="H60" s="31">
        <v>5.0000000000000001E-3</v>
      </c>
      <c r="I60" s="31"/>
      <c r="J60" s="32">
        <f t="shared" ref="J60:J66" si="4">D60+E60+MAX(F60,G60)+H60</f>
        <v>6.7500000000000004E-2</v>
      </c>
      <c r="K60" s="21"/>
    </row>
    <row r="61" spans="1:13" ht="28.5" hidden="1" customHeight="1" outlineLevel="1" x14ac:dyDescent="0.45">
      <c r="A61" s="19"/>
      <c r="B61" s="22" t="s">
        <v>54</v>
      </c>
      <c r="C61" s="22" t="s">
        <v>385</v>
      </c>
      <c r="D61" s="30">
        <v>2.5000000000000001E-2</v>
      </c>
      <c r="E61" s="33">
        <v>1.2500000000000001E-2</v>
      </c>
      <c r="F61" s="33" t="s">
        <v>26</v>
      </c>
      <c r="G61" s="37">
        <v>2.5000000000000001E-2</v>
      </c>
      <c r="H61" s="31">
        <v>5.0000000000000001E-3</v>
      </c>
      <c r="I61" s="31"/>
      <c r="J61" s="32">
        <f t="shared" si="4"/>
        <v>6.7500000000000004E-2</v>
      </c>
      <c r="K61" s="21"/>
    </row>
    <row r="62" spans="1:13" ht="28.5" hidden="1" customHeight="1" outlineLevel="1" x14ac:dyDescent="0.45">
      <c r="A62" s="26"/>
      <c r="B62" s="24" t="s">
        <v>55</v>
      </c>
      <c r="C62" s="24" t="s">
        <v>386</v>
      </c>
      <c r="D62" s="30">
        <v>2.5000000000000001E-2</v>
      </c>
      <c r="E62" s="33">
        <v>1.2500000000000001E-2</v>
      </c>
      <c r="F62" s="34" t="s">
        <v>26</v>
      </c>
      <c r="G62" s="37">
        <v>0.02</v>
      </c>
      <c r="H62" s="31">
        <v>5.0000000000000001E-3</v>
      </c>
      <c r="I62" s="31"/>
      <c r="J62" s="32">
        <f t="shared" si="4"/>
        <v>6.2500000000000014E-2</v>
      </c>
      <c r="K62" s="21"/>
    </row>
    <row r="63" spans="1:13" ht="28.5" hidden="1" customHeight="1" outlineLevel="1" x14ac:dyDescent="0.45">
      <c r="A63" s="26"/>
      <c r="B63" s="24" t="s">
        <v>56</v>
      </c>
      <c r="C63" s="24" t="s">
        <v>504</v>
      </c>
      <c r="D63" s="30">
        <v>2.5000000000000001E-2</v>
      </c>
      <c r="E63" s="33">
        <v>1.2500000000000001E-2</v>
      </c>
      <c r="F63" s="34"/>
      <c r="G63" s="37">
        <v>5.0000000000000001E-3</v>
      </c>
      <c r="H63" s="31">
        <v>5.0000000000000001E-3</v>
      </c>
      <c r="I63" s="31"/>
      <c r="J63" s="32">
        <f t="shared" si="4"/>
        <v>4.7500000000000001E-2</v>
      </c>
      <c r="K63" s="21"/>
    </row>
    <row r="64" spans="1:13" ht="28.5" hidden="1" customHeight="1" outlineLevel="1" x14ac:dyDescent="0.45">
      <c r="A64" s="26"/>
      <c r="B64" s="24" t="s">
        <v>261</v>
      </c>
      <c r="C64" s="24" t="s">
        <v>387</v>
      </c>
      <c r="D64" s="30">
        <v>2.5000000000000001E-2</v>
      </c>
      <c r="E64" s="33">
        <v>1.2500000000000001E-2</v>
      </c>
      <c r="F64" s="34"/>
      <c r="G64" s="37">
        <v>5.0000000000000001E-3</v>
      </c>
      <c r="H64" s="31">
        <v>5.0000000000000001E-3</v>
      </c>
      <c r="I64" s="31"/>
      <c r="J64" s="32">
        <f t="shared" si="4"/>
        <v>4.7500000000000001E-2</v>
      </c>
      <c r="K64" s="21" t="s">
        <v>572</v>
      </c>
    </row>
    <row r="65" spans="1:13" ht="28.5" hidden="1" customHeight="1" outlineLevel="1" x14ac:dyDescent="0.45">
      <c r="A65" s="19"/>
      <c r="B65" s="22" t="s">
        <v>57</v>
      </c>
      <c r="C65" s="22" t="s">
        <v>388</v>
      </c>
      <c r="D65" s="30">
        <v>2.5000000000000001E-2</v>
      </c>
      <c r="E65" s="33">
        <v>1.2500000000000001E-2</v>
      </c>
      <c r="F65" s="33" t="s">
        <v>26</v>
      </c>
      <c r="G65" s="37">
        <v>1.4999999999999999E-2</v>
      </c>
      <c r="H65" s="31">
        <v>5.0000000000000001E-3</v>
      </c>
      <c r="I65" s="31"/>
      <c r="J65" s="32">
        <f t="shared" si="4"/>
        <v>5.7500000000000002E-2</v>
      </c>
      <c r="K65" s="21"/>
    </row>
    <row r="66" spans="1:13" s="27" customFormat="1" ht="28.5" hidden="1" customHeight="1" outlineLevel="1" x14ac:dyDescent="0.45">
      <c r="A66" s="44"/>
      <c r="B66" s="22" t="s">
        <v>522</v>
      </c>
      <c r="C66" s="22" t="s">
        <v>531</v>
      </c>
      <c r="D66" s="30">
        <v>2.5000000000000001E-2</v>
      </c>
      <c r="E66" s="33">
        <v>1.2500000000000001E-2</v>
      </c>
      <c r="F66" s="33" t="s">
        <v>26</v>
      </c>
      <c r="G66" s="37">
        <v>5.0000000000000001E-3</v>
      </c>
      <c r="H66" s="31">
        <v>5.0000000000000001E-3</v>
      </c>
      <c r="I66" s="31"/>
      <c r="J66" s="45">
        <f t="shared" si="4"/>
        <v>4.7500000000000001E-2</v>
      </c>
      <c r="K66" s="21"/>
    </row>
    <row r="67" spans="1:13" s="18" customFormat="1" ht="30" customHeight="1" x14ac:dyDescent="0.45">
      <c r="A67" s="2" t="s">
        <v>58</v>
      </c>
      <c r="B67" s="74"/>
      <c r="C67" s="75"/>
      <c r="D67" s="79">
        <v>2.5000000000000001E-2</v>
      </c>
      <c r="E67" s="81">
        <v>2.5000000000000001E-2</v>
      </c>
      <c r="F67" s="83"/>
      <c r="G67" s="81" t="str">
        <f>COUNTA(G69:G77) &amp; IF(COUNTA(G69:G77)=1, " bank: ", " banks: ") &amp; "                                 " &amp; IF(MIN(G69:G77)=MAX(G69:G77), MIN(G69:G77)*100 &amp; "%", MIN(G69:G77)*100 &amp; "%-" &amp; MAX(G69:G77)*100 &amp; "%")</f>
        <v>9 banks:                                  1%-3%</v>
      </c>
      <c r="H67" s="81"/>
      <c r="I67" s="81" t="s">
        <v>500</v>
      </c>
      <c r="J67" s="88" t="str">
        <f>IF(ISNUMBER(SEARCH("All", H67)), SUM(D69:E69) + H69, SUM(D69:E69))*100 &amp; "% - " &amp; MAX(J69:J77)*100 &amp; " %"</f>
        <v>5% - 8 %</v>
      </c>
      <c r="K67" s="86" t="s">
        <v>584</v>
      </c>
      <c r="L67" s="7"/>
      <c r="M67" s="29"/>
    </row>
    <row r="68" spans="1:13" s="18" customFormat="1" ht="30" customHeight="1" collapsed="1" x14ac:dyDescent="0.45">
      <c r="A68" s="76" t="s">
        <v>59</v>
      </c>
      <c r="B68" s="77"/>
      <c r="C68" s="78"/>
      <c r="D68" s="80"/>
      <c r="E68" s="82"/>
      <c r="F68" s="84"/>
      <c r="G68" s="82"/>
      <c r="H68" s="82"/>
      <c r="I68" s="82"/>
      <c r="J68" s="89"/>
      <c r="K68" s="87"/>
      <c r="L68" s="7"/>
      <c r="M68" s="29"/>
    </row>
    <row r="69" spans="1:13" ht="28.5" hidden="1" customHeight="1" outlineLevel="1" x14ac:dyDescent="0.45">
      <c r="A69" s="19"/>
      <c r="B69" s="22" t="s">
        <v>243</v>
      </c>
      <c r="C69" s="22" t="s">
        <v>390</v>
      </c>
      <c r="D69" s="30">
        <v>2.5000000000000001E-2</v>
      </c>
      <c r="E69" s="33">
        <v>2.5000000000000001E-2</v>
      </c>
      <c r="F69" s="33"/>
      <c r="G69" s="37">
        <v>0.01</v>
      </c>
      <c r="H69" s="31"/>
      <c r="I69" s="31" t="s">
        <v>492</v>
      </c>
      <c r="J69" s="32">
        <f t="shared" ref="J69:J77" si="5">D69+E69+MAX(F69,G69)+H69</f>
        <v>6.0000000000000005E-2</v>
      </c>
      <c r="K69" s="21"/>
    </row>
    <row r="70" spans="1:13" ht="28.5" hidden="1" customHeight="1" outlineLevel="1" x14ac:dyDescent="0.45">
      <c r="A70" s="19"/>
      <c r="B70" s="22" t="s">
        <v>389</v>
      </c>
      <c r="C70" s="22" t="s">
        <v>391</v>
      </c>
      <c r="D70" s="30">
        <v>2.5000000000000001E-2</v>
      </c>
      <c r="E70" s="33">
        <v>2.5000000000000001E-2</v>
      </c>
      <c r="F70" s="33" t="s">
        <v>26</v>
      </c>
      <c r="G70" s="37">
        <v>0.03</v>
      </c>
      <c r="H70" s="31"/>
      <c r="I70" s="31" t="s">
        <v>492</v>
      </c>
      <c r="J70" s="32">
        <f t="shared" si="5"/>
        <v>0.08</v>
      </c>
      <c r="K70" s="21"/>
    </row>
    <row r="71" spans="1:13" ht="28.5" hidden="1" customHeight="1" outlineLevel="1" x14ac:dyDescent="0.45">
      <c r="A71" s="26"/>
      <c r="B71" s="24" t="s">
        <v>60</v>
      </c>
      <c r="C71" s="24" t="s">
        <v>392</v>
      </c>
      <c r="D71" s="30">
        <v>2.5000000000000001E-2</v>
      </c>
      <c r="E71" s="33">
        <v>2.5000000000000001E-2</v>
      </c>
      <c r="F71" s="34" t="s">
        <v>26</v>
      </c>
      <c r="G71" s="37">
        <v>0.01</v>
      </c>
      <c r="H71" s="31"/>
      <c r="I71" s="31" t="s">
        <v>492</v>
      </c>
      <c r="J71" s="32">
        <f t="shared" si="5"/>
        <v>6.0000000000000005E-2</v>
      </c>
      <c r="K71" s="21"/>
    </row>
    <row r="72" spans="1:13" ht="28.5" hidden="1" customHeight="1" outlineLevel="1" x14ac:dyDescent="0.45">
      <c r="A72" s="26"/>
      <c r="B72" s="24" t="s">
        <v>61</v>
      </c>
      <c r="C72" s="24" t="s">
        <v>393</v>
      </c>
      <c r="D72" s="30">
        <v>2.5000000000000001E-2</v>
      </c>
      <c r="E72" s="33">
        <v>2.5000000000000001E-2</v>
      </c>
      <c r="F72" s="34" t="s">
        <v>26</v>
      </c>
      <c r="G72" s="37">
        <v>1.4999999999999999E-2</v>
      </c>
      <c r="H72" s="31"/>
      <c r="I72" s="31" t="s">
        <v>492</v>
      </c>
      <c r="J72" s="32">
        <f t="shared" si="5"/>
        <v>6.5000000000000002E-2</v>
      </c>
      <c r="K72" s="21"/>
    </row>
    <row r="73" spans="1:13" ht="28.5" hidden="1" customHeight="1" outlineLevel="1" x14ac:dyDescent="0.45">
      <c r="A73" s="26"/>
      <c r="B73" s="24" t="s">
        <v>62</v>
      </c>
      <c r="C73" s="24" t="s">
        <v>394</v>
      </c>
      <c r="D73" s="30">
        <v>2.5000000000000001E-2</v>
      </c>
      <c r="E73" s="33">
        <v>2.5000000000000001E-2</v>
      </c>
      <c r="F73" s="34" t="s">
        <v>26</v>
      </c>
      <c r="G73" s="37">
        <v>1.4999999999999999E-2</v>
      </c>
      <c r="H73" s="31"/>
      <c r="I73" s="31" t="s">
        <v>492</v>
      </c>
      <c r="J73" s="32">
        <f t="shared" si="5"/>
        <v>6.5000000000000002E-2</v>
      </c>
      <c r="K73" s="21"/>
    </row>
    <row r="74" spans="1:13" ht="28.5" hidden="1" customHeight="1" outlineLevel="1" x14ac:dyDescent="0.45">
      <c r="A74" s="19"/>
      <c r="B74" s="22" t="s">
        <v>63</v>
      </c>
      <c r="C74" s="22" t="s">
        <v>395</v>
      </c>
      <c r="D74" s="30">
        <v>2.5000000000000001E-2</v>
      </c>
      <c r="E74" s="33">
        <v>2.5000000000000001E-2</v>
      </c>
      <c r="F74" s="33" t="s">
        <v>26</v>
      </c>
      <c r="G74" s="37">
        <v>0.02</v>
      </c>
      <c r="H74" s="31"/>
      <c r="I74" s="31" t="s">
        <v>492</v>
      </c>
      <c r="J74" s="32">
        <f t="shared" si="5"/>
        <v>7.0000000000000007E-2</v>
      </c>
      <c r="K74" s="21"/>
    </row>
    <row r="75" spans="1:13" ht="28.5" hidden="1" customHeight="1" outlineLevel="1" x14ac:dyDescent="0.45">
      <c r="A75" s="19"/>
      <c r="B75" s="22" t="s">
        <v>64</v>
      </c>
      <c r="C75" s="22" t="s">
        <v>396</v>
      </c>
      <c r="D75" s="30">
        <v>2.5000000000000001E-2</v>
      </c>
      <c r="E75" s="33">
        <v>2.5000000000000001E-2</v>
      </c>
      <c r="F75" s="33" t="s">
        <v>26</v>
      </c>
      <c r="G75" s="37">
        <v>0.01</v>
      </c>
      <c r="H75" s="31"/>
      <c r="I75" s="31" t="s">
        <v>492</v>
      </c>
      <c r="J75" s="32">
        <f t="shared" si="5"/>
        <v>6.0000000000000005E-2</v>
      </c>
      <c r="K75" s="21"/>
    </row>
    <row r="76" spans="1:13" ht="28.5" hidden="1" customHeight="1" outlineLevel="1" x14ac:dyDescent="0.45">
      <c r="A76" s="19"/>
      <c r="B76" s="22" t="s">
        <v>65</v>
      </c>
      <c r="C76" s="22" t="s">
        <v>397</v>
      </c>
      <c r="D76" s="30">
        <v>2.5000000000000001E-2</v>
      </c>
      <c r="E76" s="33">
        <v>2.5000000000000001E-2</v>
      </c>
      <c r="F76" s="33"/>
      <c r="G76" s="37">
        <v>0.01</v>
      </c>
      <c r="H76" s="31"/>
      <c r="I76" s="31" t="s">
        <v>492</v>
      </c>
      <c r="J76" s="32">
        <f t="shared" si="5"/>
        <v>6.0000000000000005E-2</v>
      </c>
      <c r="K76" s="21"/>
    </row>
    <row r="77" spans="1:13" ht="28.5" hidden="1" customHeight="1" outlineLevel="1" x14ac:dyDescent="0.45">
      <c r="A77" s="26"/>
      <c r="B77" s="24" t="s">
        <v>264</v>
      </c>
      <c r="C77" s="24" t="s">
        <v>398</v>
      </c>
      <c r="D77" s="30">
        <v>2.5000000000000001E-2</v>
      </c>
      <c r="E77" s="33">
        <v>2.5000000000000001E-2</v>
      </c>
      <c r="F77" s="34"/>
      <c r="G77" s="37">
        <v>0.01</v>
      </c>
      <c r="H77" s="31"/>
      <c r="I77" s="31" t="s">
        <v>492</v>
      </c>
      <c r="J77" s="32">
        <f t="shared" si="5"/>
        <v>6.0000000000000005E-2</v>
      </c>
      <c r="K77" s="21"/>
    </row>
    <row r="78" spans="1:13" s="18" customFormat="1" ht="30" customHeight="1" x14ac:dyDescent="0.45">
      <c r="A78" s="2" t="s">
        <v>66</v>
      </c>
      <c r="B78" s="74"/>
      <c r="C78" s="75"/>
      <c r="D78" s="79">
        <v>2.5000000000000001E-2</v>
      </c>
      <c r="E78" s="81">
        <v>1.4999999999999999E-2</v>
      </c>
      <c r="F78" s="83" t="s">
        <v>26</v>
      </c>
      <c r="G78" s="81" t="str">
        <f>COUNTA(G80:G85) &amp; IF(COUNTA(G80:G85)=1, " bank: ", " banks: ") &amp; "                                 " &amp; IF(MIN(G80:G85)=MAX(G80:G85), MIN(G80:G85)*100 &amp; "%", MIN(G80:G85)*100 &amp; "%-" &amp; MAX(G80:G85)*100 &amp; "%")</f>
        <v>6 banks:                                  0.5%-2%</v>
      </c>
      <c r="H78" s="81"/>
      <c r="I78" s="81"/>
      <c r="J78" s="88" t="str">
        <f>IF(ISNUMBER(SEARCH("All", H78)), SUM(D80:E80) + G80, SUM(D80:E80))*100 &amp; "% - " &amp; MAX(J80:J85)*100 &amp; " %"</f>
        <v>4% - 6 %</v>
      </c>
      <c r="K78" s="86"/>
      <c r="L78" s="7"/>
      <c r="M78" s="29"/>
    </row>
    <row r="79" spans="1:13" s="18" customFormat="1" ht="30" customHeight="1" collapsed="1" x14ac:dyDescent="0.45">
      <c r="A79" s="76" t="s">
        <v>67</v>
      </c>
      <c r="B79" s="77"/>
      <c r="C79" s="78"/>
      <c r="D79" s="80"/>
      <c r="E79" s="82"/>
      <c r="F79" s="84"/>
      <c r="G79" s="82"/>
      <c r="H79" s="82"/>
      <c r="I79" s="82"/>
      <c r="J79" s="89"/>
      <c r="K79" s="87"/>
      <c r="L79" s="7"/>
      <c r="M79" s="29"/>
    </row>
    <row r="80" spans="1:13" ht="28.5" hidden="1" customHeight="1" outlineLevel="1" x14ac:dyDescent="0.45">
      <c r="A80" s="19"/>
      <c r="B80" s="22" t="s">
        <v>68</v>
      </c>
      <c r="C80" s="22" t="s">
        <v>305</v>
      </c>
      <c r="D80" s="38">
        <v>2.5000000000000001E-2</v>
      </c>
      <c r="E80" s="33">
        <v>1.4999999999999999E-2</v>
      </c>
      <c r="F80" s="33" t="s">
        <v>26</v>
      </c>
      <c r="G80" s="37">
        <v>0.02</v>
      </c>
      <c r="H80" s="31"/>
      <c r="I80" s="31"/>
      <c r="J80" s="32">
        <f>D80+E80+MAX(F80,G80)+H80</f>
        <v>0.06</v>
      </c>
      <c r="K80" s="21"/>
    </row>
    <row r="81" spans="1:13" ht="28.5" hidden="1" customHeight="1" outlineLevel="1" x14ac:dyDescent="0.45">
      <c r="A81" s="19"/>
      <c r="B81" s="22" t="s">
        <v>69</v>
      </c>
      <c r="C81" s="22" t="s">
        <v>306</v>
      </c>
      <c r="D81" s="38">
        <v>2.5000000000000001E-2</v>
      </c>
      <c r="E81" s="33">
        <v>1.4999999999999999E-2</v>
      </c>
      <c r="F81" s="33" t="s">
        <v>26</v>
      </c>
      <c r="G81" s="37">
        <v>0.02</v>
      </c>
      <c r="H81" s="31"/>
      <c r="I81" s="31"/>
      <c r="J81" s="32">
        <f>D81+E81+MAX(F81,G81)+H81</f>
        <v>0.06</v>
      </c>
      <c r="K81" s="21"/>
    </row>
    <row r="82" spans="1:13" ht="28.5" hidden="1" customHeight="1" outlineLevel="1" x14ac:dyDescent="0.45">
      <c r="A82" s="26"/>
      <c r="B82" s="24" t="s">
        <v>70</v>
      </c>
      <c r="C82" s="24" t="s">
        <v>307</v>
      </c>
      <c r="D82" s="38">
        <v>2.5000000000000001E-2</v>
      </c>
      <c r="E82" s="33">
        <v>1.4999999999999999E-2</v>
      </c>
      <c r="F82" s="34" t="s">
        <v>26</v>
      </c>
      <c r="G82" s="37">
        <v>0.02</v>
      </c>
      <c r="H82" s="31"/>
      <c r="I82" s="31"/>
      <c r="J82" s="32">
        <f>D82+E82+MAX(F82,G82)+H82</f>
        <v>0.06</v>
      </c>
      <c r="K82" s="21" t="s">
        <v>26</v>
      </c>
    </row>
    <row r="83" spans="1:13" ht="28.5" hidden="1" customHeight="1" outlineLevel="1" x14ac:dyDescent="0.45">
      <c r="A83" s="26"/>
      <c r="B83" s="24" t="s">
        <v>71</v>
      </c>
      <c r="C83" s="24" t="s">
        <v>308</v>
      </c>
      <c r="D83" s="38">
        <v>2.5000000000000001E-2</v>
      </c>
      <c r="E83" s="33">
        <v>1.4999999999999999E-2</v>
      </c>
      <c r="F83" s="34" t="s">
        <v>26</v>
      </c>
      <c r="G83" s="37">
        <v>0.02</v>
      </c>
      <c r="H83" s="31"/>
      <c r="I83" s="31"/>
      <c r="J83" s="32">
        <f>D83+E83+MAX(F83,G83)+H83</f>
        <v>0.06</v>
      </c>
      <c r="K83" s="21"/>
    </row>
    <row r="84" spans="1:13" ht="28.5" hidden="1" customHeight="1" outlineLevel="1" x14ac:dyDescent="0.45">
      <c r="A84" s="26"/>
      <c r="B84" s="24" t="s">
        <v>513</v>
      </c>
      <c r="C84" s="24" t="s">
        <v>514</v>
      </c>
      <c r="D84" s="38">
        <v>2.5000000000000001E-2</v>
      </c>
      <c r="E84" s="33">
        <v>1.4999999999999999E-2</v>
      </c>
      <c r="F84" s="34"/>
      <c r="G84" s="37">
        <v>5.0000000000000001E-3</v>
      </c>
      <c r="H84" s="31"/>
      <c r="I84" s="31"/>
      <c r="J84" s="32">
        <f>D84+E84+G84</f>
        <v>4.4999999999999998E-2</v>
      </c>
      <c r="K84" s="21"/>
    </row>
    <row r="85" spans="1:13" ht="28.5" hidden="1" customHeight="1" outlineLevel="1" x14ac:dyDescent="0.45">
      <c r="A85" s="19"/>
      <c r="B85" s="22" t="s">
        <v>515</v>
      </c>
      <c r="C85" s="22" t="s">
        <v>516</v>
      </c>
      <c r="D85" s="38">
        <v>2.5000000000000001E-2</v>
      </c>
      <c r="E85" s="33">
        <v>1.4999999999999999E-2</v>
      </c>
      <c r="F85" s="33"/>
      <c r="G85" s="37">
        <v>5.0000000000000001E-3</v>
      </c>
      <c r="H85" s="31"/>
      <c r="I85" s="31"/>
      <c r="J85" s="32">
        <f>D85+E85+G85</f>
        <v>4.4999999999999998E-2</v>
      </c>
      <c r="K85" s="21"/>
    </row>
    <row r="86" spans="1:13" s="18" customFormat="1" ht="30" customHeight="1" x14ac:dyDescent="0.45">
      <c r="A86" s="2" t="s">
        <v>72</v>
      </c>
      <c r="B86" s="74"/>
      <c r="C86" s="75"/>
      <c r="D86" s="79">
        <v>2.5000000000000001E-2</v>
      </c>
      <c r="E86" s="81">
        <v>0</v>
      </c>
      <c r="F86" s="83"/>
      <c r="G86" s="81" t="str">
        <f>COUNTA(G88:G90) &amp; IF(COUNTA(G88:G90)=1, " bank: ", " banks: ") &amp; "                                 " &amp; IF(MIN(G88:G90)=MAX(G88:G90), MIN(G88:G90)*100 &amp; "%", MIN(G88:G90)*100 &amp; "%-" &amp; MAX(G88:G90)*100 &amp; "%")</f>
        <v>3 banks:                                  0.5%-2.5%</v>
      </c>
      <c r="H86" s="81" t="s">
        <v>477</v>
      </c>
      <c r="I86" s="81"/>
      <c r="J86" s="88" t="str">
        <f>IF(ISNUMBER(SEARCH("All", H86)), SUM(D88:E88) + H88, SUM(D88:E88))*100 &amp; "% - " &amp; MAX(J88:J90)*100 &amp; " %"</f>
        <v>3.5% - 6 %</v>
      </c>
      <c r="K86" s="86" t="s">
        <v>490</v>
      </c>
      <c r="L86" s="7"/>
      <c r="M86" s="29"/>
    </row>
    <row r="87" spans="1:13" s="18" customFormat="1" ht="30" customHeight="1" collapsed="1" x14ac:dyDescent="0.45">
      <c r="A87" s="76" t="s">
        <v>73</v>
      </c>
      <c r="B87" s="77"/>
      <c r="C87" s="78"/>
      <c r="D87" s="80"/>
      <c r="E87" s="82"/>
      <c r="F87" s="84"/>
      <c r="G87" s="82"/>
      <c r="H87" s="82"/>
      <c r="I87" s="82"/>
      <c r="J87" s="89"/>
      <c r="K87" s="87"/>
      <c r="L87" s="7"/>
      <c r="M87" s="29"/>
    </row>
    <row r="88" spans="1:13" ht="28.5" hidden="1" customHeight="1" outlineLevel="1" x14ac:dyDescent="0.45">
      <c r="A88" s="19"/>
      <c r="B88" s="22" t="s">
        <v>74</v>
      </c>
      <c r="C88" s="22" t="s">
        <v>309</v>
      </c>
      <c r="D88" s="30">
        <v>2.5000000000000001E-2</v>
      </c>
      <c r="E88" s="33">
        <v>0</v>
      </c>
      <c r="F88" s="33" t="s">
        <v>26</v>
      </c>
      <c r="G88" s="37">
        <v>5.0000000000000001E-3</v>
      </c>
      <c r="H88" s="31">
        <v>0.01</v>
      </c>
      <c r="I88" s="31"/>
      <c r="J88" s="32">
        <f>D88+E88+MAX(F88,G88)+H88</f>
        <v>0.04</v>
      </c>
      <c r="K88" s="21"/>
    </row>
    <row r="89" spans="1:13" ht="28.5" hidden="1" customHeight="1" outlineLevel="1" x14ac:dyDescent="0.45">
      <c r="A89" s="19"/>
      <c r="B89" s="22" t="s">
        <v>75</v>
      </c>
      <c r="C89" s="22" t="s">
        <v>310</v>
      </c>
      <c r="D89" s="30">
        <v>2.5000000000000001E-2</v>
      </c>
      <c r="E89" s="33">
        <v>0</v>
      </c>
      <c r="F89" s="33" t="s">
        <v>26</v>
      </c>
      <c r="G89" s="37">
        <v>2.5000000000000001E-2</v>
      </c>
      <c r="H89" s="31">
        <v>0.01</v>
      </c>
      <c r="I89" s="31"/>
      <c r="J89" s="32">
        <f>D89+E89+MAX(F89,G89)+H89</f>
        <v>6.0000000000000005E-2</v>
      </c>
      <c r="K89" s="21"/>
    </row>
    <row r="90" spans="1:13" ht="28.5" hidden="1" customHeight="1" outlineLevel="1" x14ac:dyDescent="0.45">
      <c r="A90" s="26"/>
      <c r="B90" s="24" t="s">
        <v>76</v>
      </c>
      <c r="C90" s="24" t="s">
        <v>311</v>
      </c>
      <c r="D90" s="30">
        <v>2.5000000000000001E-2</v>
      </c>
      <c r="E90" s="33">
        <v>0</v>
      </c>
      <c r="F90" s="34" t="s">
        <v>26</v>
      </c>
      <c r="G90" s="37">
        <v>1.4999999999999999E-2</v>
      </c>
      <c r="H90" s="31">
        <v>0.01</v>
      </c>
      <c r="I90" s="31"/>
      <c r="J90" s="32">
        <f>D90+E90+MAX(F90,G90)+H90</f>
        <v>0.05</v>
      </c>
      <c r="K90" s="21"/>
    </row>
    <row r="91" spans="1:13" s="17" customFormat="1" ht="20.25" customHeight="1" x14ac:dyDescent="0.45">
      <c r="A91" s="143" t="s">
        <v>77</v>
      </c>
      <c r="B91" s="144"/>
      <c r="C91" s="145"/>
      <c r="D91" s="121">
        <v>2.5000000000000001E-2</v>
      </c>
      <c r="E91" s="124">
        <v>0.01</v>
      </c>
      <c r="F91" s="124" t="str">
        <f>COUNTA(F94:F100) &amp; IF(COUNTA(F94:F100)=1, " bank: ", " banks: ") &amp; "                                 " &amp; IF(MIN(F94:F100)=MAX(F94:F100), MIN(F94:F100)*100 &amp; "%", MIN(F94:F100)*100 &amp; "%-" &amp; MAX(F94:F100)*100 &amp; "%")</f>
        <v>4 banks:                                  1%-1.5%</v>
      </c>
      <c r="G91" s="124" t="str">
        <f>COUNTA(G94:G100) &amp; IF(COUNTA(G94:G100)=1, " bank: ", " banks: ") &amp; "                                 " &amp; IF(MIN(G94:G100)=MAX(G94:G100), MIN(G94:G100)*100 &amp; "%", MIN(G94:G100)*100 &amp; "%-" &amp; MAX(G94:G100)*100 &amp; "%")</f>
        <v>7 banks:                                  0.25%-1.5%</v>
      </c>
      <c r="H91" s="131"/>
      <c r="I91" s="173"/>
      <c r="J91" s="127" t="str">
        <f>IF(ISNUMBER(SEARCH("All", H91)), SUM(D94:E94) + H94, SUM(D94:E94))*100 &amp; "% -" &amp; MAX(J94:J100)*100 &amp; "%"</f>
        <v>3.5% -5%</v>
      </c>
      <c r="K91" s="115" t="s">
        <v>567</v>
      </c>
      <c r="M91" s="28"/>
    </row>
    <row r="92" spans="1:13" s="17" customFormat="1" ht="20.25" customHeight="1" x14ac:dyDescent="0.45">
      <c r="A92" s="146" t="s">
        <v>78</v>
      </c>
      <c r="B92" s="147"/>
      <c r="C92" s="148"/>
      <c r="D92" s="122"/>
      <c r="E92" s="125"/>
      <c r="F92" s="125"/>
      <c r="G92" s="125"/>
      <c r="H92" s="132"/>
      <c r="I92" s="174"/>
      <c r="J92" s="128"/>
      <c r="K92" s="130"/>
      <c r="M92" s="28"/>
    </row>
    <row r="93" spans="1:13" s="17" customFormat="1" ht="12" customHeight="1" collapsed="1" x14ac:dyDescent="0.45">
      <c r="A93" s="146" t="s">
        <v>79</v>
      </c>
      <c r="B93" s="147"/>
      <c r="C93" s="148"/>
      <c r="D93" s="123"/>
      <c r="E93" s="126"/>
      <c r="F93" s="126"/>
      <c r="G93" s="126"/>
      <c r="H93" s="133"/>
      <c r="I93" s="175"/>
      <c r="J93" s="129"/>
      <c r="K93" s="116"/>
      <c r="M93" s="28"/>
    </row>
    <row r="94" spans="1:13" ht="28.5" hidden="1" customHeight="1" outlineLevel="1" x14ac:dyDescent="0.45">
      <c r="A94" s="19"/>
      <c r="B94" s="22" t="s">
        <v>80</v>
      </c>
      <c r="C94" s="22" t="s">
        <v>312</v>
      </c>
      <c r="D94" s="30">
        <v>2.5000000000000001E-2</v>
      </c>
      <c r="E94" s="33">
        <v>0.01</v>
      </c>
      <c r="F94" s="51">
        <v>1.4999999999999999E-2</v>
      </c>
      <c r="G94" s="51">
        <v>1.4999999999999999E-2</v>
      </c>
      <c r="H94" s="31"/>
      <c r="I94" s="47"/>
      <c r="J94" s="48">
        <f t="shared" ref="J94:J100" si="6">D94+E94+MAX(G94,F94)</f>
        <v>0.05</v>
      </c>
      <c r="K94" s="49"/>
    </row>
    <row r="95" spans="1:13" ht="28.5" hidden="1" customHeight="1" outlineLevel="1" x14ac:dyDescent="0.45">
      <c r="A95" s="19"/>
      <c r="B95" s="22" t="s">
        <v>81</v>
      </c>
      <c r="C95" s="22" t="s">
        <v>313</v>
      </c>
      <c r="D95" s="30">
        <v>2.5000000000000001E-2</v>
      </c>
      <c r="E95" s="33">
        <v>0.01</v>
      </c>
      <c r="F95" s="51">
        <v>0.01</v>
      </c>
      <c r="G95" s="51">
        <v>0.01</v>
      </c>
      <c r="H95" s="31"/>
      <c r="I95" s="47"/>
      <c r="J95" s="48">
        <f t="shared" si="6"/>
        <v>4.5000000000000005E-2</v>
      </c>
      <c r="K95" s="49"/>
    </row>
    <row r="96" spans="1:13" ht="28.5" hidden="1" customHeight="1" outlineLevel="1" x14ac:dyDescent="0.45">
      <c r="A96" s="26"/>
      <c r="B96" s="24" t="s">
        <v>82</v>
      </c>
      <c r="C96" s="24" t="s">
        <v>314</v>
      </c>
      <c r="D96" s="30">
        <v>2.5000000000000001E-2</v>
      </c>
      <c r="E96" s="33">
        <v>0.01</v>
      </c>
      <c r="F96" s="52"/>
      <c r="G96" s="51">
        <v>5.0000000000000001E-3</v>
      </c>
      <c r="H96" s="31"/>
      <c r="I96" s="47"/>
      <c r="J96" s="48">
        <f t="shared" si="6"/>
        <v>0.04</v>
      </c>
      <c r="K96" s="49"/>
    </row>
    <row r="97" spans="1:13" ht="28.5" hidden="1" customHeight="1" outlineLevel="1" x14ac:dyDescent="0.45">
      <c r="A97" s="19"/>
      <c r="B97" s="22" t="s">
        <v>83</v>
      </c>
      <c r="C97" s="22" t="s">
        <v>315</v>
      </c>
      <c r="D97" s="30">
        <v>2.5000000000000001E-2</v>
      </c>
      <c r="E97" s="33">
        <v>0.01</v>
      </c>
      <c r="F97" s="51">
        <v>0.01</v>
      </c>
      <c r="G97" s="51">
        <v>0.01</v>
      </c>
      <c r="H97" s="31"/>
      <c r="I97" s="47"/>
      <c r="J97" s="48">
        <f t="shared" si="6"/>
        <v>4.5000000000000005E-2</v>
      </c>
      <c r="K97" s="49" t="s">
        <v>566</v>
      </c>
    </row>
    <row r="98" spans="1:13" ht="28.5" hidden="1" customHeight="1" outlineLevel="1" x14ac:dyDescent="0.45">
      <c r="A98" s="19"/>
      <c r="B98" s="22" t="s">
        <v>245</v>
      </c>
      <c r="C98" s="22" t="s">
        <v>316</v>
      </c>
      <c r="D98" s="30">
        <v>2.5000000000000001E-2</v>
      </c>
      <c r="E98" s="33">
        <v>0.01</v>
      </c>
      <c r="F98" s="51"/>
      <c r="G98" s="51">
        <v>2.5000000000000001E-3</v>
      </c>
      <c r="H98" s="31"/>
      <c r="I98" s="47"/>
      <c r="J98" s="48">
        <f t="shared" si="6"/>
        <v>3.7500000000000006E-2</v>
      </c>
      <c r="K98" s="49"/>
    </row>
    <row r="99" spans="1:13" ht="28.5" hidden="1" customHeight="1" outlineLevel="1" x14ac:dyDescent="0.45">
      <c r="A99" s="26"/>
      <c r="B99" s="24" t="s">
        <v>84</v>
      </c>
      <c r="C99" s="24" t="s">
        <v>317</v>
      </c>
      <c r="D99" s="30">
        <v>2.5000000000000001E-2</v>
      </c>
      <c r="E99" s="33">
        <v>0.01</v>
      </c>
      <c r="F99" s="52"/>
      <c r="G99" s="51">
        <v>2.5000000000000001E-3</v>
      </c>
      <c r="H99" s="31"/>
      <c r="I99" s="50"/>
      <c r="J99" s="48">
        <f t="shared" si="6"/>
        <v>3.7500000000000006E-2</v>
      </c>
      <c r="K99" s="21"/>
    </row>
    <row r="100" spans="1:13" ht="28.5" hidden="1" customHeight="1" outlineLevel="1" x14ac:dyDescent="0.45">
      <c r="A100" s="19"/>
      <c r="B100" s="22" t="s">
        <v>85</v>
      </c>
      <c r="C100" s="22" t="s">
        <v>318</v>
      </c>
      <c r="D100" s="30">
        <v>2.5000000000000001E-2</v>
      </c>
      <c r="E100" s="33">
        <v>0.01</v>
      </c>
      <c r="F100" s="51">
        <v>0.01</v>
      </c>
      <c r="G100" s="51">
        <v>0.01</v>
      </c>
      <c r="H100" s="31"/>
      <c r="I100" s="47"/>
      <c r="J100" s="48">
        <f t="shared" si="6"/>
        <v>4.5000000000000005E-2</v>
      </c>
      <c r="K100" s="49"/>
    </row>
    <row r="101" spans="1:13" s="18" customFormat="1" ht="62.25" customHeight="1" x14ac:dyDescent="0.45">
      <c r="A101" s="2" t="s">
        <v>86</v>
      </c>
      <c r="B101" s="74"/>
      <c r="C101" s="75"/>
      <c r="D101" s="79">
        <v>2.5000000000000001E-2</v>
      </c>
      <c r="E101" s="81">
        <v>7.4999999999999997E-3</v>
      </c>
      <c r="F101" s="81" t="str">
        <f>COUNTA(F103:F117) &amp; IF(COUNTA(F103:F117)=1, " bank: ", " banks: ") &amp; "                                 " &amp; IF(MIN(F103:F117)=MAX(F103:F117), MIN(F103:F117)*100 &amp; "%", MIN(F103:F117)*100 &amp; "%-" &amp; MAX(F103:F117)*100 &amp; "%")</f>
        <v>1 bank:                                  1.5%</v>
      </c>
      <c r="G101" s="81" t="str">
        <f>COUNTA(G103:G116) &amp; IF(COUNTA(G103:G116)=1, " bank: ", " banks: ") &amp; "                                 " &amp; IF(MIN(G103:G116)=MAX(G103:G116), MIN(G103:G116)*100 &amp; "%", MIN(G103:G116)*100 &amp; "%-" &amp; MAX(G103:G116)*100 &amp; "%")</f>
        <v>14 banks:                                  0.25%-2%</v>
      </c>
      <c r="H101" s="81"/>
      <c r="I101" s="81" t="s">
        <v>496</v>
      </c>
      <c r="J101" s="88" t="str">
        <f>IF(ISNUMBER(SEARCH("All", H101)), SUM(D103:E103) + H103, SUM(D103:E103))*100 &amp; "% - " &amp; MAX(J103:J117)*100 &amp; " %"</f>
        <v>3.25% - 5.25 %</v>
      </c>
      <c r="K101" s="86" t="s">
        <v>585</v>
      </c>
      <c r="L101" s="7"/>
      <c r="M101" s="29"/>
    </row>
    <row r="102" spans="1:13" s="18" customFormat="1" ht="30" customHeight="1" collapsed="1" x14ac:dyDescent="0.45">
      <c r="A102" s="76" t="s">
        <v>87</v>
      </c>
      <c r="B102" s="77"/>
      <c r="C102" s="78"/>
      <c r="D102" s="80"/>
      <c r="E102" s="82"/>
      <c r="F102" s="82"/>
      <c r="G102" s="82"/>
      <c r="H102" s="82"/>
      <c r="I102" s="82"/>
      <c r="J102" s="89"/>
      <c r="K102" s="87"/>
      <c r="L102" s="7"/>
      <c r="M102" s="29"/>
    </row>
    <row r="103" spans="1:13" ht="28.5" hidden="1" customHeight="1" outlineLevel="1" x14ac:dyDescent="0.45">
      <c r="A103" s="19"/>
      <c r="B103" s="22" t="s">
        <v>88</v>
      </c>
      <c r="C103" s="22" t="s">
        <v>319</v>
      </c>
      <c r="D103" s="30">
        <v>2.5000000000000001E-2</v>
      </c>
      <c r="E103" s="33">
        <v>7.4999999999999997E-3</v>
      </c>
      <c r="F103" s="33"/>
      <c r="G103" s="37">
        <v>5.0000000000000001E-3</v>
      </c>
      <c r="H103" s="31"/>
      <c r="I103" s="11" t="s">
        <v>497</v>
      </c>
      <c r="J103" s="46">
        <f t="shared" ref="J103:J115" si="7">D103+E103+MAX(F103,G103)+H103</f>
        <v>3.7499999999999999E-2</v>
      </c>
      <c r="K103" s="21"/>
    </row>
    <row r="104" spans="1:13" ht="28.5" hidden="1" customHeight="1" outlineLevel="1" x14ac:dyDescent="0.45">
      <c r="A104" s="19"/>
      <c r="B104" s="22" t="s">
        <v>89</v>
      </c>
      <c r="C104" s="22" t="s">
        <v>320</v>
      </c>
      <c r="D104" s="30">
        <v>2.5000000000000001E-2</v>
      </c>
      <c r="E104" s="33">
        <v>7.4999999999999997E-3</v>
      </c>
      <c r="F104" s="33"/>
      <c r="G104" s="39">
        <v>1.2500000000000001E-2</v>
      </c>
      <c r="H104" s="31"/>
      <c r="I104" s="11" t="s">
        <v>497</v>
      </c>
      <c r="J104" s="46">
        <f t="shared" si="7"/>
        <v>4.4999999999999998E-2</v>
      </c>
      <c r="K104" s="21"/>
    </row>
    <row r="105" spans="1:13" ht="28.5" hidden="1" customHeight="1" outlineLevel="1" x14ac:dyDescent="0.45">
      <c r="A105" s="26"/>
      <c r="B105" s="24" t="s">
        <v>90</v>
      </c>
      <c r="C105" s="24" t="s">
        <v>321</v>
      </c>
      <c r="D105" s="30">
        <v>2.5000000000000001E-2</v>
      </c>
      <c r="E105" s="33">
        <v>7.4999999999999997E-3</v>
      </c>
      <c r="F105" s="34"/>
      <c r="G105" s="37">
        <v>0.01</v>
      </c>
      <c r="H105" s="31"/>
      <c r="I105" s="11" t="s">
        <v>497</v>
      </c>
      <c r="J105" s="46">
        <f t="shared" si="7"/>
        <v>4.2500000000000003E-2</v>
      </c>
      <c r="K105" s="21"/>
    </row>
    <row r="106" spans="1:13" ht="28.5" hidden="1" customHeight="1" outlineLevel="1" x14ac:dyDescent="0.45">
      <c r="A106" s="19"/>
      <c r="B106" s="22" t="s">
        <v>91</v>
      </c>
      <c r="C106" s="22" t="s">
        <v>322</v>
      </c>
      <c r="D106" s="30">
        <v>2.5000000000000001E-2</v>
      </c>
      <c r="E106" s="33">
        <v>7.4999999999999997E-3</v>
      </c>
      <c r="F106" s="33"/>
      <c r="G106" s="39">
        <v>2.5000000000000001E-3</v>
      </c>
      <c r="H106" s="31"/>
      <c r="I106" s="11" t="s">
        <v>497</v>
      </c>
      <c r="J106" s="46">
        <f t="shared" si="7"/>
        <v>3.5000000000000003E-2</v>
      </c>
      <c r="K106" s="21"/>
    </row>
    <row r="107" spans="1:13" ht="28.5" hidden="1" customHeight="1" outlineLevel="1" x14ac:dyDescent="0.45">
      <c r="A107" s="19"/>
      <c r="B107" s="22" t="s">
        <v>92</v>
      </c>
      <c r="C107" s="22" t="s">
        <v>323</v>
      </c>
      <c r="D107" s="30">
        <v>2.5000000000000001E-2</v>
      </c>
      <c r="E107" s="33">
        <v>7.4999999999999997E-3</v>
      </c>
      <c r="F107" s="33">
        <v>1.4999999999999999E-2</v>
      </c>
      <c r="G107" s="37">
        <v>0.02</v>
      </c>
      <c r="H107" s="31"/>
      <c r="I107" s="11" t="s">
        <v>497</v>
      </c>
      <c r="J107" s="46">
        <f t="shared" si="7"/>
        <v>5.2500000000000005E-2</v>
      </c>
      <c r="K107" s="21" t="s">
        <v>586</v>
      </c>
    </row>
    <row r="108" spans="1:13" ht="28.5" hidden="1" customHeight="1" outlineLevel="1" x14ac:dyDescent="0.45">
      <c r="A108" s="26"/>
      <c r="B108" s="24" t="s">
        <v>235</v>
      </c>
      <c r="C108" s="24" t="s">
        <v>324</v>
      </c>
      <c r="D108" s="30">
        <v>2.5000000000000001E-2</v>
      </c>
      <c r="E108" s="33">
        <v>7.4999999999999997E-3</v>
      </c>
      <c r="F108" s="34"/>
      <c r="G108" s="37">
        <v>0.01</v>
      </c>
      <c r="H108" s="31"/>
      <c r="I108" s="11" t="s">
        <v>497</v>
      </c>
      <c r="J108" s="46">
        <f t="shared" si="7"/>
        <v>4.2500000000000003E-2</v>
      </c>
      <c r="K108" s="21"/>
    </row>
    <row r="109" spans="1:13" ht="28.5" hidden="1" customHeight="1" outlineLevel="1" x14ac:dyDescent="0.45">
      <c r="A109" s="19"/>
      <c r="B109" s="22" t="s">
        <v>93</v>
      </c>
      <c r="C109" s="22" t="s">
        <v>325</v>
      </c>
      <c r="D109" s="30">
        <v>2.5000000000000001E-2</v>
      </c>
      <c r="E109" s="33">
        <v>7.4999999999999997E-3</v>
      </c>
      <c r="F109" s="33"/>
      <c r="G109" s="39">
        <v>2.5000000000000001E-3</v>
      </c>
      <c r="H109" s="31"/>
      <c r="I109" s="11" t="s">
        <v>497</v>
      </c>
      <c r="J109" s="46">
        <f t="shared" si="7"/>
        <v>3.5000000000000003E-2</v>
      </c>
      <c r="K109" s="21"/>
    </row>
    <row r="110" spans="1:13" ht="28.5" hidden="1" customHeight="1" outlineLevel="1" x14ac:dyDescent="0.45">
      <c r="A110" s="19"/>
      <c r="B110" s="22" t="s">
        <v>94</v>
      </c>
      <c r="C110" s="22" t="s">
        <v>326</v>
      </c>
      <c r="D110" s="30">
        <v>2.5000000000000001E-2</v>
      </c>
      <c r="E110" s="33">
        <v>7.4999999999999997E-3</v>
      </c>
      <c r="F110" s="33"/>
      <c r="G110" s="39">
        <v>7.4999999999999997E-3</v>
      </c>
      <c r="H110" s="31"/>
      <c r="I110" s="11" t="s">
        <v>497</v>
      </c>
      <c r="J110" s="46">
        <f t="shared" si="7"/>
        <v>0.04</v>
      </c>
      <c r="K110" s="21"/>
    </row>
    <row r="111" spans="1:13" ht="28.5" hidden="1" customHeight="1" outlineLevel="1" x14ac:dyDescent="0.45">
      <c r="A111" s="19"/>
      <c r="B111" s="22" t="s">
        <v>95</v>
      </c>
      <c r="C111" s="22" t="s">
        <v>327</v>
      </c>
      <c r="D111" s="30">
        <v>2.5000000000000001E-2</v>
      </c>
      <c r="E111" s="33">
        <v>7.4999999999999997E-3</v>
      </c>
      <c r="F111" s="33"/>
      <c r="G111" s="39">
        <v>2.5000000000000001E-3</v>
      </c>
      <c r="H111" s="31"/>
      <c r="I111" s="11" t="s">
        <v>497</v>
      </c>
      <c r="J111" s="46">
        <f t="shared" si="7"/>
        <v>3.5000000000000003E-2</v>
      </c>
      <c r="K111" s="21"/>
    </row>
    <row r="112" spans="1:13" ht="28.5" hidden="1" customHeight="1" outlineLevel="1" x14ac:dyDescent="0.45">
      <c r="A112" s="26"/>
      <c r="B112" s="24" t="s">
        <v>96</v>
      </c>
      <c r="C112" s="24" t="s">
        <v>328</v>
      </c>
      <c r="D112" s="30">
        <v>2.5000000000000001E-2</v>
      </c>
      <c r="E112" s="33">
        <v>7.4999999999999997E-3</v>
      </c>
      <c r="F112" s="34"/>
      <c r="G112" s="39">
        <v>7.4999999999999997E-3</v>
      </c>
      <c r="H112" s="31"/>
      <c r="I112" s="11" t="s">
        <v>497</v>
      </c>
      <c r="J112" s="46">
        <f t="shared" si="7"/>
        <v>0.04</v>
      </c>
      <c r="K112" s="21"/>
    </row>
    <row r="113" spans="1:13" ht="28.5" hidden="1" customHeight="1" outlineLevel="1" x14ac:dyDescent="0.45">
      <c r="A113" s="19"/>
      <c r="B113" s="22" t="s">
        <v>257</v>
      </c>
      <c r="C113" s="22" t="s">
        <v>329</v>
      </c>
      <c r="D113" s="30">
        <v>2.5000000000000001E-2</v>
      </c>
      <c r="E113" s="33">
        <v>7.4999999999999997E-3</v>
      </c>
      <c r="F113" s="33"/>
      <c r="G113" s="39">
        <v>2.5000000000000001E-3</v>
      </c>
      <c r="H113" s="31"/>
      <c r="I113" s="11" t="s">
        <v>497</v>
      </c>
      <c r="J113" s="46">
        <f t="shared" si="7"/>
        <v>3.5000000000000003E-2</v>
      </c>
      <c r="K113" s="21"/>
    </row>
    <row r="114" spans="1:13" ht="28.5" hidden="1" customHeight="1" outlineLevel="1" x14ac:dyDescent="0.45">
      <c r="A114" s="19"/>
      <c r="B114" s="22" t="s">
        <v>259</v>
      </c>
      <c r="C114" s="22" t="s">
        <v>330</v>
      </c>
      <c r="D114" s="30">
        <v>2.5000000000000001E-2</v>
      </c>
      <c r="E114" s="33">
        <v>7.4999999999999997E-3</v>
      </c>
      <c r="F114" s="33"/>
      <c r="G114" s="39">
        <v>1.2500000000000001E-2</v>
      </c>
      <c r="H114" s="31"/>
      <c r="I114" s="11" t="s">
        <v>497</v>
      </c>
      <c r="J114" s="46">
        <f t="shared" si="7"/>
        <v>4.4999999999999998E-2</v>
      </c>
      <c r="K114" s="21"/>
    </row>
    <row r="115" spans="1:13" ht="28.5" hidden="1" customHeight="1" outlineLevel="1" x14ac:dyDescent="0.45">
      <c r="A115" s="26"/>
      <c r="B115" s="24" t="s">
        <v>467</v>
      </c>
      <c r="C115" s="24" t="s">
        <v>469</v>
      </c>
      <c r="D115" s="30">
        <v>2.5000000000000001E-2</v>
      </c>
      <c r="E115" s="33">
        <v>7.4999999999999997E-3</v>
      </c>
      <c r="F115" s="34"/>
      <c r="G115" s="37">
        <v>0.01</v>
      </c>
      <c r="H115" s="31"/>
      <c r="I115" s="11" t="s">
        <v>497</v>
      </c>
      <c r="J115" s="46">
        <f t="shared" si="7"/>
        <v>4.2500000000000003E-2</v>
      </c>
      <c r="K115" s="21"/>
    </row>
    <row r="116" spans="1:13" ht="28.5" hidden="1" customHeight="1" outlineLevel="1" x14ac:dyDescent="0.45">
      <c r="A116" s="19"/>
      <c r="B116" s="22" t="s">
        <v>468</v>
      </c>
      <c r="C116" s="22" t="s">
        <v>470</v>
      </c>
      <c r="D116" s="30">
        <v>2.5000000000000001E-2</v>
      </c>
      <c r="E116" s="33">
        <v>7.4999999999999997E-3</v>
      </c>
      <c r="F116" s="33"/>
      <c r="G116" s="39">
        <v>2.5000000000000001E-3</v>
      </c>
      <c r="H116" s="31"/>
      <c r="I116" s="11" t="s">
        <v>497</v>
      </c>
      <c r="J116" s="46">
        <f t="shared" ref="J116" si="8">D116+E116+MAX(F116,G116)+H116</f>
        <v>3.5000000000000003E-2</v>
      </c>
      <c r="K116" s="21"/>
    </row>
    <row r="117" spans="1:13" ht="28.5" hidden="1" customHeight="1" outlineLevel="1" x14ac:dyDescent="0.45">
      <c r="A117" s="26"/>
      <c r="B117" s="59" t="s">
        <v>553</v>
      </c>
      <c r="C117" s="59" t="s">
        <v>554</v>
      </c>
      <c r="D117" s="60">
        <v>2.5000000000000001E-2</v>
      </c>
      <c r="E117" s="61">
        <v>7.4999999999999997E-3</v>
      </c>
      <c r="F117" s="11"/>
      <c r="G117" s="62">
        <v>0</v>
      </c>
      <c r="H117" s="11"/>
      <c r="I117" s="61" t="s">
        <v>497</v>
      </c>
      <c r="J117" s="63">
        <f>D117+E117+MAX(G117,F117)</f>
        <v>3.2500000000000001E-2</v>
      </c>
      <c r="K117" s="58" t="s">
        <v>555</v>
      </c>
    </row>
    <row r="118" spans="1:13" s="18" customFormat="1" ht="30" customHeight="1" x14ac:dyDescent="0.45">
      <c r="A118" s="2" t="s">
        <v>97</v>
      </c>
      <c r="B118" s="74"/>
      <c r="C118" s="75"/>
      <c r="D118" s="79">
        <v>2.5000000000000001E-2</v>
      </c>
      <c r="E118" s="79">
        <v>2.5000000000000001E-3</v>
      </c>
      <c r="F118" s="83" t="s">
        <v>26</v>
      </c>
      <c r="G118" s="81" t="str">
        <f>COUNTA(G120:G123) &amp; IF(COUNTA(G120:G123)=1, " bank: ", " banks: ") &amp; "                                 " &amp; IF(MIN(G120:G123)=MAX(G120:G123), MIN(G120:G123)*100 &amp; "%", MIN(G120:G123)*100 &amp; "%-" &amp; MAX(G120:G123)*100 &amp; "%")</f>
        <v>4 banks:                                  1%-1.25%</v>
      </c>
      <c r="H118" s="81"/>
      <c r="I118" s="81" t="s">
        <v>26</v>
      </c>
      <c r="J118" s="88" t="str">
        <f>IF(ISNUMBER(SEARCH("All", H118)), SUM(D120:E120) + H120, SUM(D120:E120))*100 &amp; "% - " &amp; MAX(J120:J123)*100 &amp; " %"</f>
        <v>2.75% - 4 %</v>
      </c>
      <c r="K118" s="86" t="s">
        <v>556</v>
      </c>
      <c r="L118" s="7"/>
      <c r="M118" s="29"/>
    </row>
    <row r="119" spans="1:13" s="18" customFormat="1" ht="30" customHeight="1" collapsed="1" x14ac:dyDescent="0.45">
      <c r="A119" s="76" t="s">
        <v>98</v>
      </c>
      <c r="B119" s="77"/>
      <c r="C119" s="78"/>
      <c r="D119" s="80"/>
      <c r="E119" s="80"/>
      <c r="F119" s="84"/>
      <c r="G119" s="82"/>
      <c r="H119" s="82"/>
      <c r="I119" s="82"/>
      <c r="J119" s="89"/>
      <c r="K119" s="87"/>
      <c r="L119" s="7"/>
      <c r="M119" s="29"/>
    </row>
    <row r="120" spans="1:13" ht="28.5" hidden="1" customHeight="1" outlineLevel="1" x14ac:dyDescent="0.45">
      <c r="A120" s="19"/>
      <c r="B120" s="22" t="s">
        <v>236</v>
      </c>
      <c r="C120" s="22" t="s">
        <v>331</v>
      </c>
      <c r="D120" s="30">
        <v>2.5000000000000001E-2</v>
      </c>
      <c r="E120" s="33">
        <v>2.5000000000000001E-3</v>
      </c>
      <c r="F120" s="33" t="s">
        <v>14</v>
      </c>
      <c r="G120" s="37">
        <v>0.01</v>
      </c>
      <c r="H120" s="31"/>
      <c r="I120" s="31"/>
      <c r="J120" s="32">
        <f>D120+E120+MAX(F120,G120)+H120</f>
        <v>3.7499999999999999E-2</v>
      </c>
      <c r="K120" s="21"/>
    </row>
    <row r="121" spans="1:13" ht="28.5" hidden="1" customHeight="1" outlineLevel="1" x14ac:dyDescent="0.45">
      <c r="A121" s="19"/>
      <c r="B121" s="22" t="s">
        <v>237</v>
      </c>
      <c r="C121" s="22" t="s">
        <v>332</v>
      </c>
      <c r="D121" s="30">
        <v>2.5000000000000001E-2</v>
      </c>
      <c r="E121" s="33">
        <v>2.5000000000000001E-3</v>
      </c>
      <c r="F121" s="33" t="s">
        <v>14</v>
      </c>
      <c r="G121" s="39">
        <v>1.2500000000000001E-2</v>
      </c>
      <c r="H121" s="31"/>
      <c r="I121" s="31"/>
      <c r="J121" s="32">
        <f>D121+E121+MAX(F121,G121)+H121</f>
        <v>0.04</v>
      </c>
      <c r="K121" s="21"/>
    </row>
    <row r="122" spans="1:13" ht="28.5" hidden="1" customHeight="1" outlineLevel="1" x14ac:dyDescent="0.45">
      <c r="A122" s="26"/>
      <c r="B122" s="24" t="s">
        <v>99</v>
      </c>
      <c r="C122" s="24" t="s">
        <v>333</v>
      </c>
      <c r="D122" s="30">
        <v>2.5000000000000001E-2</v>
      </c>
      <c r="E122" s="33">
        <v>2.5000000000000001E-3</v>
      </c>
      <c r="F122" s="34" t="s">
        <v>14</v>
      </c>
      <c r="G122" s="37">
        <v>0.01</v>
      </c>
      <c r="H122" s="31"/>
      <c r="I122" s="31"/>
      <c r="J122" s="32">
        <f>D122+E122+MAX(F122,G122)+H122</f>
        <v>3.7499999999999999E-2</v>
      </c>
      <c r="K122" s="21"/>
    </row>
    <row r="123" spans="1:13" ht="28.5" hidden="1" customHeight="1" outlineLevel="1" x14ac:dyDescent="0.45">
      <c r="A123" s="19"/>
      <c r="B123" s="22" t="s">
        <v>238</v>
      </c>
      <c r="C123" s="22" t="s">
        <v>334</v>
      </c>
      <c r="D123" s="30">
        <v>2.5000000000000001E-2</v>
      </c>
      <c r="E123" s="33">
        <v>2.5000000000000001E-3</v>
      </c>
      <c r="F123" s="33" t="s">
        <v>14</v>
      </c>
      <c r="G123" s="37">
        <v>0.01</v>
      </c>
      <c r="H123" s="31"/>
      <c r="I123" s="31"/>
      <c r="J123" s="32">
        <f>D123+E123+MAX(F123,G123)+H123</f>
        <v>3.7499999999999999E-2</v>
      </c>
      <c r="K123" s="21"/>
    </row>
    <row r="124" spans="1:13" s="18" customFormat="1" ht="30" customHeight="1" x14ac:dyDescent="0.45">
      <c r="A124" s="2" t="s">
        <v>100</v>
      </c>
      <c r="B124" s="74"/>
      <c r="C124" s="75"/>
      <c r="D124" s="79">
        <v>2.5000000000000001E-2</v>
      </c>
      <c r="E124" s="81">
        <v>0.01</v>
      </c>
      <c r="F124" s="83" t="s">
        <v>26</v>
      </c>
      <c r="G124" s="81" t="str">
        <f>COUNTA(G126:G132) &amp; IF(COUNTA(G126:G132)=1, " bank: ", " banks: ") &amp; "                                 " &amp; IF(MIN(G126:G132)=MAX(G126:G132), MIN(G126:G132)*100 &amp; "%", MIN(G126:G132)*100 &amp; "%-" &amp; MAX(G126:G132)*100 &amp; "%")</f>
        <v>7 banks:                                  0.5%-2%</v>
      </c>
      <c r="H124" s="81" t="s">
        <v>499</v>
      </c>
      <c r="I124" s="81"/>
      <c r="J124" s="88" t="str">
        <f>IF(ISNUMBER(SEARCH("All", H124)), SUM(D126:E126) + H126, SUM(D126:E126))*100 &amp; "% - " &amp; MAX(J126:J132)*100 &amp; " %"</f>
        <v>3.5% - 5.5 %</v>
      </c>
      <c r="K124" s="86" t="s">
        <v>581</v>
      </c>
      <c r="L124" s="7"/>
      <c r="M124" s="29"/>
    </row>
    <row r="125" spans="1:13" s="18" customFormat="1" ht="30" customHeight="1" collapsed="1" x14ac:dyDescent="0.45">
      <c r="A125" s="76" t="s">
        <v>101</v>
      </c>
      <c r="B125" s="77"/>
      <c r="C125" s="78"/>
      <c r="D125" s="80"/>
      <c r="E125" s="82"/>
      <c r="F125" s="84"/>
      <c r="G125" s="82"/>
      <c r="H125" s="82"/>
      <c r="I125" s="82"/>
      <c r="J125" s="89"/>
      <c r="K125" s="87"/>
      <c r="L125" s="7"/>
      <c r="M125" s="29"/>
    </row>
    <row r="126" spans="1:13" ht="28.5" hidden="1" customHeight="1" outlineLevel="1" x14ac:dyDescent="0.45">
      <c r="A126" s="19"/>
      <c r="B126" s="22" t="s">
        <v>102</v>
      </c>
      <c r="C126" s="22" t="s">
        <v>399</v>
      </c>
      <c r="D126" s="30">
        <v>2.5000000000000001E-2</v>
      </c>
      <c r="E126" s="33">
        <v>0.01</v>
      </c>
      <c r="F126" s="33" t="s">
        <v>26</v>
      </c>
      <c r="G126" s="37">
        <v>5.0000000000000001E-3</v>
      </c>
      <c r="H126" s="31">
        <v>0</v>
      </c>
      <c r="I126" s="31"/>
      <c r="J126" s="32">
        <f>D126+E126+MAX(F126,G126)+H126</f>
        <v>0.04</v>
      </c>
      <c r="K126" s="21"/>
    </row>
    <row r="127" spans="1:13" ht="28.5" hidden="1" customHeight="1" outlineLevel="1" x14ac:dyDescent="0.45">
      <c r="A127" s="19"/>
      <c r="B127" s="22" t="s">
        <v>103</v>
      </c>
      <c r="C127" s="22" t="s">
        <v>400</v>
      </c>
      <c r="D127" s="30">
        <v>2.5000000000000001E-2</v>
      </c>
      <c r="E127" s="33">
        <v>0.01</v>
      </c>
      <c r="F127" s="33" t="s">
        <v>26</v>
      </c>
      <c r="G127" s="37">
        <v>5.0000000000000001E-3</v>
      </c>
      <c r="H127" s="31">
        <v>0</v>
      </c>
      <c r="I127" s="31"/>
      <c r="J127" s="32">
        <f t="shared" ref="J127:J132" si="9">D127+E127+MAX(F127,G127)+H127</f>
        <v>0.04</v>
      </c>
      <c r="K127" s="21"/>
    </row>
    <row r="128" spans="1:13" ht="28.5" hidden="1" customHeight="1" outlineLevel="1" x14ac:dyDescent="0.45">
      <c r="A128" s="26"/>
      <c r="B128" s="24" t="s">
        <v>104</v>
      </c>
      <c r="C128" s="24" t="s">
        <v>401</v>
      </c>
      <c r="D128" s="30">
        <v>2.5000000000000001E-2</v>
      </c>
      <c r="E128" s="33">
        <v>0.01</v>
      </c>
      <c r="F128" s="34" t="s">
        <v>26</v>
      </c>
      <c r="G128" s="37">
        <v>0.01</v>
      </c>
      <c r="H128" s="31">
        <v>0</v>
      </c>
      <c r="I128" s="31"/>
      <c r="J128" s="32">
        <f t="shared" si="9"/>
        <v>4.5000000000000005E-2</v>
      </c>
      <c r="K128" s="21"/>
    </row>
    <row r="129" spans="1:13" ht="28.5" hidden="1" customHeight="1" outlineLevel="1" x14ac:dyDescent="0.45">
      <c r="A129" s="19"/>
      <c r="B129" s="22" t="s">
        <v>406</v>
      </c>
      <c r="C129" s="22" t="s">
        <v>402</v>
      </c>
      <c r="D129" s="30">
        <v>2.5000000000000001E-2</v>
      </c>
      <c r="E129" s="33">
        <v>0.01</v>
      </c>
      <c r="F129" s="33" t="s">
        <v>26</v>
      </c>
      <c r="G129" s="37">
        <v>0.01</v>
      </c>
      <c r="H129" s="31">
        <v>0</v>
      </c>
      <c r="I129" s="31"/>
      <c r="J129" s="32">
        <f t="shared" si="9"/>
        <v>4.5000000000000005E-2</v>
      </c>
      <c r="K129" s="21"/>
    </row>
    <row r="130" spans="1:13" ht="28.5" hidden="1" customHeight="1" outlineLevel="1" x14ac:dyDescent="0.45">
      <c r="A130" s="19"/>
      <c r="B130" s="22" t="s">
        <v>105</v>
      </c>
      <c r="C130" s="22" t="s">
        <v>403</v>
      </c>
      <c r="D130" s="30">
        <v>2.5000000000000001E-2</v>
      </c>
      <c r="E130" s="33">
        <v>0.01</v>
      </c>
      <c r="F130" s="33" t="s">
        <v>26</v>
      </c>
      <c r="G130" s="37">
        <v>0.02</v>
      </c>
      <c r="H130" s="31">
        <v>0</v>
      </c>
      <c r="I130" s="31"/>
      <c r="J130" s="32">
        <f t="shared" si="9"/>
        <v>5.5000000000000007E-2</v>
      </c>
      <c r="K130" s="21"/>
    </row>
    <row r="131" spans="1:13" ht="28.5" hidden="1" customHeight="1" outlineLevel="1" x14ac:dyDescent="0.45">
      <c r="A131" s="19"/>
      <c r="B131" s="22" t="s">
        <v>106</v>
      </c>
      <c r="C131" s="22" t="s">
        <v>404</v>
      </c>
      <c r="D131" s="30">
        <v>2.5000000000000001E-2</v>
      </c>
      <c r="E131" s="33">
        <v>0.01</v>
      </c>
      <c r="F131" s="33" t="s">
        <v>26</v>
      </c>
      <c r="G131" s="37">
        <v>5.0000000000000001E-3</v>
      </c>
      <c r="H131" s="31">
        <v>0</v>
      </c>
      <c r="I131" s="31"/>
      <c r="J131" s="32">
        <f t="shared" si="9"/>
        <v>0.04</v>
      </c>
      <c r="K131" s="21"/>
    </row>
    <row r="132" spans="1:13" ht="28.5" hidden="1" customHeight="1" outlineLevel="1" x14ac:dyDescent="0.45">
      <c r="A132" s="26"/>
      <c r="B132" s="24" t="s">
        <v>107</v>
      </c>
      <c r="C132" s="24" t="s">
        <v>405</v>
      </c>
      <c r="D132" s="30">
        <v>2.5000000000000001E-2</v>
      </c>
      <c r="E132" s="33">
        <v>0.01</v>
      </c>
      <c r="F132" s="34" t="s">
        <v>26</v>
      </c>
      <c r="G132" s="37">
        <v>0.01</v>
      </c>
      <c r="H132" s="31">
        <v>0</v>
      </c>
      <c r="I132" s="31"/>
      <c r="J132" s="32">
        <f t="shared" si="9"/>
        <v>4.5000000000000005E-2</v>
      </c>
      <c r="K132" s="21"/>
    </row>
    <row r="133" spans="1:13" s="18" customFormat="1" ht="30" customHeight="1" x14ac:dyDescent="0.45">
      <c r="A133" s="2" t="s">
        <v>112</v>
      </c>
      <c r="B133" s="74"/>
      <c r="C133" s="75"/>
      <c r="D133" s="79">
        <v>2.5000000000000001E-2</v>
      </c>
      <c r="E133" s="81">
        <v>2.5000000000000001E-2</v>
      </c>
      <c r="F133" s="83" t="s">
        <v>26</v>
      </c>
      <c r="G133" s="81" t="str">
        <f>COUNTA(G135:G143) &amp; IF(COUNTA(G135:G143)=1, " bank: ", " banks: ") &amp; "                                 " &amp; IF(MIN(G135:G143)=MAX(G135:G143), MIN(G135:G143)*100 &amp; "%", MIN(G135:G143)*100 &amp; "%-" &amp; MAX(G135:G143)*100 &amp; "%")</f>
        <v>3 banks:                                  3%</v>
      </c>
      <c r="H133" s="81" t="s">
        <v>523</v>
      </c>
      <c r="I133" s="81"/>
      <c r="J133" s="88" t="str">
        <f>IF(ISNUMBER(SEARCH("All", H133)), SUM(D135:E135) + H135, SUM(D135:E135))*100 &amp; "% - " &amp; MAX(J135:J143)*100 &amp; " %"</f>
        <v>5% - 10 %</v>
      </c>
      <c r="K133" s="86" t="s">
        <v>491</v>
      </c>
      <c r="L133" s="7"/>
      <c r="M133" s="29"/>
    </row>
    <row r="134" spans="1:13" s="18" customFormat="1" ht="30" customHeight="1" collapsed="1" x14ac:dyDescent="0.45">
      <c r="A134" s="76" t="s">
        <v>113</v>
      </c>
      <c r="B134" s="77"/>
      <c r="C134" s="78"/>
      <c r="D134" s="80"/>
      <c r="E134" s="82"/>
      <c r="F134" s="84"/>
      <c r="G134" s="82"/>
      <c r="H134" s="82"/>
      <c r="I134" s="82"/>
      <c r="J134" s="89"/>
      <c r="K134" s="87"/>
      <c r="L134" s="7"/>
      <c r="M134" s="29"/>
    </row>
    <row r="135" spans="1:13" ht="28.5" hidden="1" customHeight="1" outlineLevel="1" x14ac:dyDescent="0.45">
      <c r="A135" s="19"/>
      <c r="B135" s="22" t="s">
        <v>114</v>
      </c>
      <c r="C135" s="22" t="s">
        <v>407</v>
      </c>
      <c r="D135" s="30">
        <v>2.5000000000000001E-2</v>
      </c>
      <c r="E135" s="33">
        <v>2.5000000000000001E-2</v>
      </c>
      <c r="F135" s="33"/>
      <c r="G135" s="37">
        <v>0.03</v>
      </c>
      <c r="H135" s="31">
        <v>0.02</v>
      </c>
      <c r="I135" s="31"/>
      <c r="J135" s="32">
        <f t="shared" ref="J135:J143" si="10">D135+E135+MAX(F135,G135)+H135</f>
        <v>0.1</v>
      </c>
      <c r="K135" s="21"/>
    </row>
    <row r="136" spans="1:13" ht="28.5" hidden="1" customHeight="1" outlineLevel="1" x14ac:dyDescent="0.45">
      <c r="A136" s="19"/>
      <c r="B136" s="22" t="s">
        <v>115</v>
      </c>
      <c r="C136" s="22" t="s">
        <v>408</v>
      </c>
      <c r="D136" s="30">
        <v>2.5000000000000001E-2</v>
      </c>
      <c r="E136" s="33">
        <v>2.5000000000000001E-2</v>
      </c>
      <c r="F136" s="33" t="s">
        <v>14</v>
      </c>
      <c r="G136" s="37">
        <v>0.03</v>
      </c>
      <c r="H136" s="31">
        <v>0.02</v>
      </c>
      <c r="I136" s="31"/>
      <c r="J136" s="32">
        <f t="shared" si="10"/>
        <v>0.1</v>
      </c>
      <c r="K136" s="21"/>
    </row>
    <row r="137" spans="1:13" ht="28.5" hidden="1" customHeight="1" outlineLevel="1" x14ac:dyDescent="0.45">
      <c r="A137" s="26"/>
      <c r="B137" s="24" t="s">
        <v>116</v>
      </c>
      <c r="C137" s="24" t="s">
        <v>409</v>
      </c>
      <c r="D137" s="30">
        <v>2.5000000000000001E-2</v>
      </c>
      <c r="E137" s="33">
        <v>2.5000000000000001E-2</v>
      </c>
      <c r="F137" s="34" t="s">
        <v>14</v>
      </c>
      <c r="G137" s="37">
        <v>0.03</v>
      </c>
      <c r="H137" s="31">
        <v>0.02</v>
      </c>
      <c r="I137" s="31"/>
      <c r="J137" s="32">
        <f t="shared" si="10"/>
        <v>0.1</v>
      </c>
      <c r="K137" s="21"/>
    </row>
    <row r="138" spans="1:13" ht="28.5" hidden="1" customHeight="1" outlineLevel="1" x14ac:dyDescent="0.45">
      <c r="A138" s="19"/>
      <c r="B138" s="22" t="s">
        <v>117</v>
      </c>
      <c r="C138" s="22" t="s">
        <v>410</v>
      </c>
      <c r="D138" s="30">
        <v>2.5000000000000001E-2</v>
      </c>
      <c r="E138" s="33">
        <v>2.5000000000000001E-2</v>
      </c>
      <c r="F138" s="33"/>
      <c r="G138" s="37"/>
      <c r="H138" s="31">
        <v>0.02</v>
      </c>
      <c r="I138" s="31"/>
      <c r="J138" s="32">
        <f t="shared" si="10"/>
        <v>7.0000000000000007E-2</v>
      </c>
      <c r="K138" s="21"/>
    </row>
    <row r="139" spans="1:13" ht="28.5" hidden="1" customHeight="1" outlineLevel="1" x14ac:dyDescent="0.45">
      <c r="A139" s="19"/>
      <c r="B139" s="22" t="s">
        <v>252</v>
      </c>
      <c r="C139" s="22" t="s">
        <v>411</v>
      </c>
      <c r="D139" s="30">
        <v>2.5000000000000001E-2</v>
      </c>
      <c r="E139" s="33">
        <v>2.5000000000000001E-2</v>
      </c>
      <c r="F139" s="33"/>
      <c r="G139" s="37"/>
      <c r="H139" s="31">
        <v>0.02</v>
      </c>
      <c r="I139" s="31"/>
      <c r="J139" s="32">
        <f t="shared" si="10"/>
        <v>7.0000000000000007E-2</v>
      </c>
      <c r="K139" s="21"/>
    </row>
    <row r="140" spans="1:13" ht="28.5" hidden="1" customHeight="1" outlineLevel="1" x14ac:dyDescent="0.45">
      <c r="A140" s="19"/>
      <c r="B140" s="22" t="s">
        <v>118</v>
      </c>
      <c r="C140" s="22" t="s">
        <v>412</v>
      </c>
      <c r="D140" s="30">
        <v>2.5000000000000001E-2</v>
      </c>
      <c r="E140" s="33">
        <v>2.5000000000000001E-2</v>
      </c>
      <c r="F140" s="33"/>
      <c r="G140" s="37"/>
      <c r="H140" s="31">
        <v>0.02</v>
      </c>
      <c r="I140" s="31"/>
      <c r="J140" s="32">
        <f t="shared" si="10"/>
        <v>7.0000000000000007E-2</v>
      </c>
      <c r="K140" s="21"/>
    </row>
    <row r="141" spans="1:13" ht="28.5" hidden="1" customHeight="1" outlineLevel="1" x14ac:dyDescent="0.45">
      <c r="A141" s="26"/>
      <c r="B141" s="24" t="s">
        <v>119</v>
      </c>
      <c r="C141" s="24" t="s">
        <v>413</v>
      </c>
      <c r="D141" s="30">
        <v>2.5000000000000001E-2</v>
      </c>
      <c r="E141" s="33">
        <v>2.5000000000000001E-2</v>
      </c>
      <c r="F141" s="34"/>
      <c r="G141" s="39"/>
      <c r="H141" s="31">
        <v>0.02</v>
      </c>
      <c r="I141" s="31"/>
      <c r="J141" s="32">
        <f t="shared" si="10"/>
        <v>7.0000000000000007E-2</v>
      </c>
      <c r="K141" s="21"/>
    </row>
    <row r="142" spans="1:13" ht="28.5" hidden="1" customHeight="1" outlineLevel="1" x14ac:dyDescent="0.45">
      <c r="A142" s="19"/>
      <c r="B142" s="22" t="s">
        <v>120</v>
      </c>
      <c r="C142" s="22" t="s">
        <v>414</v>
      </c>
      <c r="D142" s="30">
        <v>2.5000000000000001E-2</v>
      </c>
      <c r="E142" s="33">
        <v>2.5000000000000001E-2</v>
      </c>
      <c r="F142" s="33"/>
      <c r="G142" s="37"/>
      <c r="H142" s="31">
        <v>0.02</v>
      </c>
      <c r="I142" s="31"/>
      <c r="J142" s="32">
        <f t="shared" si="10"/>
        <v>7.0000000000000007E-2</v>
      </c>
      <c r="K142" s="21"/>
    </row>
    <row r="143" spans="1:13" ht="28.5" hidden="1" customHeight="1" outlineLevel="1" x14ac:dyDescent="0.45">
      <c r="A143" s="19"/>
      <c r="B143" s="22" t="s">
        <v>121</v>
      </c>
      <c r="C143" s="22" t="s">
        <v>415</v>
      </c>
      <c r="D143" s="30">
        <v>2.5000000000000001E-2</v>
      </c>
      <c r="E143" s="33">
        <v>2.5000000000000001E-2</v>
      </c>
      <c r="F143" s="33"/>
      <c r="G143" s="37"/>
      <c r="H143" s="31">
        <v>0.02</v>
      </c>
      <c r="I143" s="31"/>
      <c r="J143" s="32">
        <f t="shared" si="10"/>
        <v>7.0000000000000007E-2</v>
      </c>
      <c r="K143" s="21"/>
    </row>
    <row r="144" spans="1:13" s="18" customFormat="1" ht="30" customHeight="1" x14ac:dyDescent="0.45">
      <c r="A144" s="2" t="s">
        <v>108</v>
      </c>
      <c r="B144" s="74"/>
      <c r="C144" s="75"/>
      <c r="D144" s="79">
        <v>2.5000000000000001E-2</v>
      </c>
      <c r="E144" s="79">
        <v>1.4999999999999999E-2</v>
      </c>
      <c r="F144" s="83" t="s">
        <v>26</v>
      </c>
      <c r="G144" s="81" t="str">
        <f>COUNTA(G146:G151) &amp; IF(COUNTA(G146:G151)=1, " bank: ", " banks: ") &amp; "                                 " &amp; IF(MIN(G146:G151)=MAX(G146:G151), MIN(G146:G151)*100 &amp; "%", MIN(G146:G151)*100 &amp; "%-" &amp; MAX(G146:G151)*100 &amp; "%")</f>
        <v>6 banks:                                  0.5%-1.5%</v>
      </c>
      <c r="H144" s="81"/>
      <c r="I144" s="81" t="s">
        <v>26</v>
      </c>
      <c r="J144" s="88" t="str">
        <f>IF(ISNUMBER(SEARCH("All", H144)), SUM(D146:E146) + H146, SUM(D146:E146))*100 &amp; "% - " &amp; MAX(J146:J151)*100 &amp; " %"</f>
        <v>4% - 5.5 %</v>
      </c>
      <c r="K144" s="86"/>
      <c r="L144" s="7"/>
      <c r="M144" s="29"/>
    </row>
    <row r="145" spans="1:13" s="18" customFormat="1" ht="30" customHeight="1" collapsed="1" x14ac:dyDescent="0.45">
      <c r="A145" s="76" t="s">
        <v>109</v>
      </c>
      <c r="B145" s="77"/>
      <c r="C145" s="78"/>
      <c r="D145" s="80"/>
      <c r="E145" s="80"/>
      <c r="F145" s="84"/>
      <c r="G145" s="82"/>
      <c r="H145" s="82"/>
      <c r="I145" s="82"/>
      <c r="J145" s="89"/>
      <c r="K145" s="87"/>
      <c r="L145" s="7"/>
      <c r="M145" s="29"/>
    </row>
    <row r="146" spans="1:13" ht="28.5" hidden="1" customHeight="1" outlineLevel="1" x14ac:dyDescent="0.45">
      <c r="A146" s="19"/>
      <c r="B146" s="22" t="s">
        <v>224</v>
      </c>
      <c r="C146" s="22" t="s">
        <v>335</v>
      </c>
      <c r="D146" s="30">
        <v>2.5000000000000001E-2</v>
      </c>
      <c r="E146" s="33">
        <v>1.4999999999999999E-2</v>
      </c>
      <c r="F146" s="33" t="s">
        <v>14</v>
      </c>
      <c r="G146" s="37">
        <v>1.4999999999999999E-2</v>
      </c>
      <c r="H146" s="31"/>
      <c r="I146" s="31" t="s">
        <v>14</v>
      </c>
      <c r="J146" s="32">
        <f t="shared" ref="J146:J151" si="11">D146+E146+MAX(F146,G146)+H146</f>
        <v>5.5E-2</v>
      </c>
      <c r="K146" s="21"/>
    </row>
    <row r="147" spans="1:13" ht="28.5" hidden="1" customHeight="1" outlineLevel="1" x14ac:dyDescent="0.45">
      <c r="A147" s="19"/>
      <c r="B147" s="22" t="s">
        <v>473</v>
      </c>
      <c r="C147" s="22" t="s">
        <v>474</v>
      </c>
      <c r="D147" s="30">
        <v>2.5000000000000001E-2</v>
      </c>
      <c r="E147" s="33">
        <v>1.4999999999999999E-2</v>
      </c>
      <c r="F147" s="33" t="s">
        <v>14</v>
      </c>
      <c r="G147" s="37">
        <v>0.01</v>
      </c>
      <c r="H147" s="31"/>
      <c r="I147" s="31" t="s">
        <v>14</v>
      </c>
      <c r="J147" s="32">
        <f t="shared" si="11"/>
        <v>0.05</v>
      </c>
      <c r="K147" s="21"/>
    </row>
    <row r="148" spans="1:13" ht="28.5" hidden="1" customHeight="1" outlineLevel="1" x14ac:dyDescent="0.45">
      <c r="A148" s="26"/>
      <c r="B148" s="24" t="s">
        <v>110</v>
      </c>
      <c r="C148" s="24" t="s">
        <v>336</v>
      </c>
      <c r="D148" s="30">
        <v>2.5000000000000001E-2</v>
      </c>
      <c r="E148" s="33">
        <v>1.4999999999999999E-2</v>
      </c>
      <c r="F148" s="34" t="s">
        <v>14</v>
      </c>
      <c r="G148" s="37">
        <v>0.01</v>
      </c>
      <c r="H148" s="31"/>
      <c r="I148" s="31" t="s">
        <v>14</v>
      </c>
      <c r="J148" s="32">
        <f t="shared" si="11"/>
        <v>0.05</v>
      </c>
      <c r="K148" s="21"/>
    </row>
    <row r="149" spans="1:13" ht="28.5" hidden="1" customHeight="1" outlineLevel="1" x14ac:dyDescent="0.45">
      <c r="A149" s="19"/>
      <c r="B149" s="22" t="s">
        <v>111</v>
      </c>
      <c r="C149" s="22" t="s">
        <v>337</v>
      </c>
      <c r="D149" s="30">
        <v>2.5000000000000001E-2</v>
      </c>
      <c r="E149" s="33">
        <v>1.4999999999999999E-2</v>
      </c>
      <c r="F149" s="33" t="s">
        <v>14</v>
      </c>
      <c r="G149" s="37">
        <v>1.4999999999999999E-2</v>
      </c>
      <c r="H149" s="31"/>
      <c r="I149" s="31" t="s">
        <v>14</v>
      </c>
      <c r="J149" s="32">
        <f t="shared" si="11"/>
        <v>5.5E-2</v>
      </c>
      <c r="K149" s="21"/>
    </row>
    <row r="150" spans="1:13" ht="28.5" hidden="1" customHeight="1" outlineLevel="1" x14ac:dyDescent="0.45">
      <c r="A150" s="19"/>
      <c r="B150" s="22" t="s">
        <v>227</v>
      </c>
      <c r="C150" s="22" t="s">
        <v>338</v>
      </c>
      <c r="D150" s="30">
        <v>2.5000000000000001E-2</v>
      </c>
      <c r="E150" s="33">
        <v>1.4999999999999999E-2</v>
      </c>
      <c r="F150" s="33" t="s">
        <v>14</v>
      </c>
      <c r="G150" s="39">
        <v>5.0000000000000001E-3</v>
      </c>
      <c r="H150" s="31"/>
      <c r="I150" s="31" t="s">
        <v>14</v>
      </c>
      <c r="J150" s="32">
        <f t="shared" si="11"/>
        <v>4.4999999999999998E-2</v>
      </c>
      <c r="K150" s="21"/>
    </row>
    <row r="151" spans="1:13" ht="28.5" hidden="1" customHeight="1" outlineLevel="1" x14ac:dyDescent="0.45">
      <c r="A151" s="19"/>
      <c r="B151" s="22" t="s">
        <v>475</v>
      </c>
      <c r="C151" s="22" t="s">
        <v>476</v>
      </c>
      <c r="D151" s="30">
        <v>2.5000000000000001E-2</v>
      </c>
      <c r="E151" s="33">
        <v>1.4999999999999999E-2</v>
      </c>
      <c r="F151" s="33"/>
      <c r="G151" s="37">
        <v>5.0000000000000001E-3</v>
      </c>
      <c r="H151" s="31"/>
      <c r="I151" s="31"/>
      <c r="J151" s="32">
        <f t="shared" si="11"/>
        <v>4.4999999999999998E-2</v>
      </c>
      <c r="K151" s="21"/>
    </row>
    <row r="152" spans="1:13" s="18" customFormat="1" ht="30" customHeight="1" x14ac:dyDescent="0.45">
      <c r="A152" s="2" t="s">
        <v>122</v>
      </c>
      <c r="B152" s="74"/>
      <c r="C152" s="75"/>
      <c r="D152" s="79">
        <v>2.5000000000000001E-2</v>
      </c>
      <c r="E152" s="81">
        <v>0</v>
      </c>
      <c r="F152" s="83"/>
      <c r="G152" s="81" t="str">
        <f>COUNTA(G154:G160) &amp; IF(COUNTA(G154:G160)=1, " bank: ", " banks: ") &amp; "                                 " &amp; IF(MIN(G154:G160)=MAX(G154:G160), MIN(G154:G160)*100 &amp; "%", MIN(G154:G160)*100 &amp; "%-" &amp; MAX(G154:G160)*100 &amp; "%")</f>
        <v>7 banks:                                  0.25%-1.5%</v>
      </c>
      <c r="H152" s="81"/>
      <c r="I152" s="81" t="s">
        <v>533</v>
      </c>
      <c r="J152" s="88" t="str">
        <f>IF(ISNUMBER(SEARCH("All", H152)), SUM(D154:E154) + H154, SUM(D154:E154))*100 &amp; "% - " &amp; MAX(J154:J160)*100 &amp; " %"</f>
        <v>2.5% - 4 %</v>
      </c>
      <c r="K152" s="86" t="s">
        <v>557</v>
      </c>
      <c r="L152" s="7"/>
      <c r="M152" s="29"/>
    </row>
    <row r="153" spans="1:13" s="18" customFormat="1" ht="30" customHeight="1" collapsed="1" x14ac:dyDescent="0.45">
      <c r="A153" s="76" t="s">
        <v>123</v>
      </c>
      <c r="B153" s="77"/>
      <c r="C153" s="78"/>
      <c r="D153" s="80"/>
      <c r="E153" s="82"/>
      <c r="F153" s="84"/>
      <c r="G153" s="82"/>
      <c r="H153" s="82"/>
      <c r="I153" s="82"/>
      <c r="J153" s="89"/>
      <c r="K153" s="87"/>
      <c r="L153" s="7"/>
      <c r="M153" s="29"/>
    </row>
    <row r="154" spans="1:13" ht="28.5" hidden="1" customHeight="1" outlineLevel="1" x14ac:dyDescent="0.45">
      <c r="A154" s="19"/>
      <c r="B154" s="22" t="s">
        <v>239</v>
      </c>
      <c r="C154" s="22" t="s">
        <v>339</v>
      </c>
      <c r="D154" s="30">
        <v>2.5000000000000001E-2</v>
      </c>
      <c r="E154" s="33">
        <v>0</v>
      </c>
      <c r="F154" s="33" t="s">
        <v>14</v>
      </c>
      <c r="G154" s="39">
        <v>1.2500000000000001E-2</v>
      </c>
      <c r="H154" s="31"/>
      <c r="I154" s="31" t="s">
        <v>497</v>
      </c>
      <c r="J154" s="32">
        <f t="shared" ref="J154:J160" si="12">D154+E154+MAX(F154,G154)+H154</f>
        <v>3.7500000000000006E-2</v>
      </c>
      <c r="K154" s="21"/>
    </row>
    <row r="155" spans="1:13" ht="28.5" hidden="1" customHeight="1" outlineLevel="1" x14ac:dyDescent="0.45">
      <c r="A155" s="19"/>
      <c r="B155" s="22" t="s">
        <v>240</v>
      </c>
      <c r="C155" s="22" t="s">
        <v>340</v>
      </c>
      <c r="D155" s="30">
        <v>2.5000000000000001E-2</v>
      </c>
      <c r="E155" s="33">
        <v>0</v>
      </c>
      <c r="F155" s="33"/>
      <c r="G155" s="37">
        <v>1.4999999999999999E-2</v>
      </c>
      <c r="H155" s="31"/>
      <c r="I155" s="31" t="s">
        <v>497</v>
      </c>
      <c r="J155" s="32">
        <f t="shared" si="12"/>
        <v>0.04</v>
      </c>
      <c r="K155" s="21" t="s">
        <v>558</v>
      </c>
    </row>
    <row r="156" spans="1:13" ht="28.5" hidden="1" customHeight="1" outlineLevel="1" x14ac:dyDescent="0.45">
      <c r="A156" s="26"/>
      <c r="B156" s="24" t="s">
        <v>241</v>
      </c>
      <c r="C156" s="24" t="s">
        <v>341</v>
      </c>
      <c r="D156" s="30">
        <v>2.5000000000000001E-2</v>
      </c>
      <c r="E156" s="33">
        <v>0</v>
      </c>
      <c r="F156" s="34"/>
      <c r="G156" s="37">
        <v>5.0000000000000001E-3</v>
      </c>
      <c r="H156" s="31"/>
      <c r="I156" s="31" t="s">
        <v>497</v>
      </c>
      <c r="J156" s="32">
        <f t="shared" si="12"/>
        <v>3.0000000000000002E-2</v>
      </c>
      <c r="K156" s="21"/>
    </row>
    <row r="157" spans="1:13" ht="28.5" hidden="1" customHeight="1" outlineLevel="1" x14ac:dyDescent="0.45">
      <c r="A157" s="19"/>
      <c r="B157" s="22" t="s">
        <v>465</v>
      </c>
      <c r="C157" s="22" t="s">
        <v>464</v>
      </c>
      <c r="D157" s="30">
        <v>2.5000000000000001E-2</v>
      </c>
      <c r="E157" s="33">
        <v>0</v>
      </c>
      <c r="F157" s="33"/>
      <c r="G157" s="39">
        <v>2.5000000000000001E-3</v>
      </c>
      <c r="H157" s="31"/>
      <c r="I157" s="31" t="s">
        <v>497</v>
      </c>
      <c r="J157" s="32">
        <f t="shared" si="12"/>
        <v>2.75E-2</v>
      </c>
      <c r="K157" s="21"/>
    </row>
    <row r="158" spans="1:13" ht="28.5" hidden="1" customHeight="1" outlineLevel="1" x14ac:dyDescent="0.45">
      <c r="A158" s="19"/>
      <c r="B158" s="22" t="s">
        <v>463</v>
      </c>
      <c r="C158" s="22" t="s">
        <v>462</v>
      </c>
      <c r="D158" s="30">
        <v>2.5000000000000001E-2</v>
      </c>
      <c r="E158" s="33">
        <v>0</v>
      </c>
      <c r="F158" s="33"/>
      <c r="G158" s="39">
        <v>2.5000000000000001E-3</v>
      </c>
      <c r="H158" s="31"/>
      <c r="I158" s="31" t="s">
        <v>497</v>
      </c>
      <c r="J158" s="32">
        <f t="shared" si="12"/>
        <v>2.75E-2</v>
      </c>
      <c r="K158" s="21"/>
    </row>
    <row r="159" spans="1:13" ht="28.5" hidden="1" customHeight="1" outlineLevel="1" x14ac:dyDescent="0.45">
      <c r="A159" s="19"/>
      <c r="B159" s="22" t="s">
        <v>461</v>
      </c>
      <c r="C159" s="22" t="s">
        <v>460</v>
      </c>
      <c r="D159" s="30">
        <v>2.5000000000000001E-2</v>
      </c>
      <c r="E159" s="33">
        <v>0</v>
      </c>
      <c r="F159" s="33"/>
      <c r="G159" s="39">
        <v>2.5000000000000001E-3</v>
      </c>
      <c r="H159" s="31"/>
      <c r="I159" s="31" t="s">
        <v>497</v>
      </c>
      <c r="J159" s="32">
        <f t="shared" si="12"/>
        <v>2.75E-2</v>
      </c>
      <c r="K159" s="21"/>
    </row>
    <row r="160" spans="1:13" ht="28.5" hidden="1" customHeight="1" outlineLevel="1" x14ac:dyDescent="0.45">
      <c r="A160" s="19"/>
      <c r="B160" s="22" t="s">
        <v>459</v>
      </c>
      <c r="C160" s="22" t="s">
        <v>458</v>
      </c>
      <c r="D160" s="30">
        <v>2.5000000000000001E-2</v>
      </c>
      <c r="E160" s="33">
        <v>0</v>
      </c>
      <c r="F160" s="33"/>
      <c r="G160" s="39">
        <v>2.5000000000000001E-3</v>
      </c>
      <c r="H160" s="31"/>
      <c r="I160" s="31" t="s">
        <v>497</v>
      </c>
      <c r="J160" s="32">
        <f t="shared" si="12"/>
        <v>2.75E-2</v>
      </c>
      <c r="K160" s="21"/>
    </row>
    <row r="161" spans="1:13" s="18" customFormat="1" ht="30" customHeight="1" x14ac:dyDescent="0.45">
      <c r="A161" s="2" t="s">
        <v>124</v>
      </c>
      <c r="B161" s="74"/>
      <c r="C161" s="75"/>
      <c r="D161" s="79">
        <v>2.5000000000000001E-2</v>
      </c>
      <c r="E161" s="81">
        <f>E163</f>
        <v>0.01</v>
      </c>
      <c r="F161" s="83" t="s">
        <v>26</v>
      </c>
      <c r="G161" s="81" t="str">
        <f>COUNTA(G163:G165) &amp; IF(COUNTA(G163:G165)=1, " bank: ", " banks: ") &amp; "                                 " &amp; IF(MIN(G163:G165)=MAX(G163:G165), MIN(G163:G165)*100 &amp; "%", MIN(G163:G165)*100 &amp; "%-" &amp; MAX(G163:G165)*100 &amp; "%")</f>
        <v>3 banks:                                  1.25%-2%</v>
      </c>
      <c r="H161" s="81"/>
      <c r="I161" s="81" t="s">
        <v>26</v>
      </c>
      <c r="J161" s="88" t="str">
        <f>IF(ISNUMBER(SEARCH("All", H161)), SUM(D163:E163) + H163, SUM(D163:E163))*100 &amp; "% - " &amp; MAX(J163:J165)*100 &amp; " %"</f>
        <v>3.5% - 5.5 %</v>
      </c>
      <c r="K161" s="134"/>
      <c r="L161" s="7"/>
      <c r="M161" s="29"/>
    </row>
    <row r="162" spans="1:13" s="18" customFormat="1" ht="30" customHeight="1" collapsed="1" x14ac:dyDescent="0.45">
      <c r="A162" s="76" t="s">
        <v>263</v>
      </c>
      <c r="B162" s="77"/>
      <c r="C162" s="78"/>
      <c r="D162" s="80"/>
      <c r="E162" s="82"/>
      <c r="F162" s="84"/>
      <c r="G162" s="82"/>
      <c r="H162" s="82"/>
      <c r="I162" s="82"/>
      <c r="J162" s="89"/>
      <c r="K162" s="135"/>
      <c r="L162" s="7"/>
      <c r="M162" s="29"/>
    </row>
    <row r="163" spans="1:13" ht="28.5" hidden="1" customHeight="1" outlineLevel="1" x14ac:dyDescent="0.45">
      <c r="A163" s="19"/>
      <c r="B163" s="22" t="s">
        <v>125</v>
      </c>
      <c r="C163" s="22" t="s">
        <v>342</v>
      </c>
      <c r="D163" s="30">
        <v>2.5000000000000001E-2</v>
      </c>
      <c r="E163" s="53">
        <v>0.01</v>
      </c>
      <c r="F163" s="33" t="s">
        <v>14</v>
      </c>
      <c r="G163" s="39">
        <v>1.4999999999999999E-2</v>
      </c>
      <c r="H163" s="31"/>
      <c r="I163" s="31"/>
      <c r="J163" s="32">
        <f>D163+E163+MAX(F163,G163)+H163</f>
        <v>0.05</v>
      </c>
      <c r="K163" s="58"/>
    </row>
    <row r="164" spans="1:13" ht="28.5" hidden="1" customHeight="1" outlineLevel="1" x14ac:dyDescent="0.45">
      <c r="A164" s="19"/>
      <c r="B164" s="24" t="s">
        <v>126</v>
      </c>
      <c r="C164" s="24" t="s">
        <v>343</v>
      </c>
      <c r="D164" s="30">
        <v>2.5000000000000001E-2</v>
      </c>
      <c r="E164" s="53">
        <v>0.01</v>
      </c>
      <c r="F164" s="34" t="s">
        <v>14</v>
      </c>
      <c r="G164" s="39">
        <v>1.2500000000000001E-2</v>
      </c>
      <c r="H164" s="31"/>
      <c r="I164" s="31"/>
      <c r="J164" s="32">
        <f>D164+E164+MAX(F164,G164)+H164</f>
        <v>4.7500000000000001E-2</v>
      </c>
      <c r="K164" s="58"/>
    </row>
    <row r="165" spans="1:13" ht="28.5" hidden="1" customHeight="1" outlineLevel="1" x14ac:dyDescent="0.45">
      <c r="A165" s="26"/>
      <c r="B165" s="24" t="s">
        <v>255</v>
      </c>
      <c r="C165" s="24" t="s">
        <v>344</v>
      </c>
      <c r="D165" s="30">
        <v>2.5000000000000001E-2</v>
      </c>
      <c r="E165" s="53">
        <v>0.01</v>
      </c>
      <c r="F165" s="33" t="s">
        <v>14</v>
      </c>
      <c r="G165" s="37">
        <v>0.02</v>
      </c>
      <c r="H165" s="31"/>
      <c r="I165" s="31"/>
      <c r="J165" s="32">
        <f>D165+E165+MAX(F165,G165)+H165</f>
        <v>5.5000000000000007E-2</v>
      </c>
      <c r="K165" s="58"/>
    </row>
    <row r="166" spans="1:13" s="18" customFormat="1" ht="30" customHeight="1" x14ac:dyDescent="0.45">
      <c r="A166" s="2" t="s">
        <v>127</v>
      </c>
      <c r="B166" s="74"/>
      <c r="C166" s="75"/>
      <c r="D166" s="112">
        <v>2.5000000000000001E-2</v>
      </c>
      <c r="E166" s="85">
        <v>0</v>
      </c>
      <c r="F166" s="113"/>
      <c r="G166" s="85" t="str">
        <f>COUNTA(G168:G170) &amp; IF(COUNTA(G168:G170)=1, " bank: ", " banks: ") &amp; "                                 " &amp; IF(MIN(G168:G170)=MAX(G168:G170), MIN(G168:G170)*100 &amp; "%", MIN(G168:G170)*100 &amp; "%-" &amp; MAX(G168:G170)*100 &amp; "%")</f>
        <v>3 banks:                                  2%</v>
      </c>
      <c r="H166" s="85"/>
      <c r="I166" s="85" t="s">
        <v>496</v>
      </c>
      <c r="J166" s="114" t="str">
        <f>IF(ISNUMBER(SEARCH("All", H166)), SUM(D168:E168) + H168, SUM(D168:E168))*100 &amp; "% - " &amp; MAX(J168:J170)*100 &amp; " %"</f>
        <v>2.5% - 4.5 %</v>
      </c>
      <c r="K166" s="136" t="s">
        <v>498</v>
      </c>
      <c r="L166" s="7"/>
      <c r="M166" s="29"/>
    </row>
    <row r="167" spans="1:13" s="18" customFormat="1" ht="30" customHeight="1" collapsed="1" x14ac:dyDescent="0.45">
      <c r="A167" s="76" t="s">
        <v>128</v>
      </c>
      <c r="B167" s="77"/>
      <c r="C167" s="78"/>
      <c r="D167" s="80"/>
      <c r="E167" s="82"/>
      <c r="F167" s="84"/>
      <c r="G167" s="82"/>
      <c r="H167" s="82"/>
      <c r="I167" s="82"/>
      <c r="J167" s="89"/>
      <c r="K167" s="137"/>
      <c r="L167" s="7"/>
      <c r="M167" s="29"/>
    </row>
    <row r="168" spans="1:13" ht="28.5" hidden="1" customHeight="1" outlineLevel="1" x14ac:dyDescent="0.45">
      <c r="A168" s="19"/>
      <c r="B168" s="22" t="s">
        <v>129</v>
      </c>
      <c r="C168" s="22" t="s">
        <v>416</v>
      </c>
      <c r="D168" s="30">
        <v>2.5000000000000001E-2</v>
      </c>
      <c r="E168" s="33">
        <v>0</v>
      </c>
      <c r="F168" s="33" t="s">
        <v>14</v>
      </c>
      <c r="G168" s="37">
        <v>0.02</v>
      </c>
      <c r="H168" s="31"/>
      <c r="I168" s="31" t="s">
        <v>497</v>
      </c>
      <c r="J168" s="32">
        <f>D168+E168+MAX(F168,G168)+H168</f>
        <v>4.4999999999999998E-2</v>
      </c>
      <c r="K168" s="21"/>
    </row>
    <row r="169" spans="1:13" ht="28.5" hidden="1" customHeight="1" outlineLevel="1" x14ac:dyDescent="0.45">
      <c r="A169" s="19"/>
      <c r="B169" s="22" t="s">
        <v>419</v>
      </c>
      <c r="C169" s="22" t="s">
        <v>417</v>
      </c>
      <c r="D169" s="30">
        <v>2.5000000000000001E-2</v>
      </c>
      <c r="E169" s="33">
        <v>0</v>
      </c>
      <c r="F169" s="33" t="s">
        <v>14</v>
      </c>
      <c r="G169" s="37">
        <v>0.02</v>
      </c>
      <c r="H169" s="31"/>
      <c r="I169" s="31" t="s">
        <v>497</v>
      </c>
      <c r="J169" s="32">
        <f>D169+E169+MAX(F169,G169)+H169</f>
        <v>4.4999999999999998E-2</v>
      </c>
      <c r="K169" s="21"/>
    </row>
    <row r="170" spans="1:13" ht="28.5" hidden="1" customHeight="1" outlineLevel="1" x14ac:dyDescent="0.45">
      <c r="A170" s="26"/>
      <c r="B170" s="24" t="s">
        <v>130</v>
      </c>
      <c r="C170" s="24" t="s">
        <v>418</v>
      </c>
      <c r="D170" s="30">
        <v>2.5000000000000001E-2</v>
      </c>
      <c r="E170" s="33">
        <v>0</v>
      </c>
      <c r="F170" s="34" t="s">
        <v>14</v>
      </c>
      <c r="G170" s="37">
        <v>0.02</v>
      </c>
      <c r="H170" s="31"/>
      <c r="I170" s="31" t="s">
        <v>497</v>
      </c>
      <c r="J170" s="32">
        <f>D170+E170+MAX(F170,G170)+H170</f>
        <v>4.4999999999999998E-2</v>
      </c>
      <c r="K170" s="21"/>
    </row>
    <row r="171" spans="1:13" s="18" customFormat="1" ht="30" customHeight="1" x14ac:dyDescent="0.45">
      <c r="A171" s="2" t="s">
        <v>131</v>
      </c>
      <c r="B171" s="74"/>
      <c r="C171" s="75"/>
      <c r="D171" s="79">
        <v>2.5000000000000001E-2</v>
      </c>
      <c r="E171" s="81">
        <v>0.01</v>
      </c>
      <c r="F171" s="83" t="s">
        <v>26</v>
      </c>
      <c r="G171" s="81" t="str">
        <f>COUNTA(G173:G176) &amp; IF(COUNTA(G173:G176)=1, " bank: ", " banks: ") &amp; "                                 " &amp; IF(MIN(G173:G176)=MAX(G173:G176), MIN(G173:G176)*100 &amp; "%", MIN(G173:G176)*100 &amp; "%-" &amp; MAX(G173:G176)*100 &amp; "%")</f>
        <v>4 banks:                                  1%-2%</v>
      </c>
      <c r="H171" s="81"/>
      <c r="I171" s="81" t="s">
        <v>488</v>
      </c>
      <c r="J171" s="88" t="str">
        <f>IF(ISNUMBER(SEARCH("All", H171)), SUM(D173:E173) + H173, SUM(D173:E173))*100 &amp; "% - " &amp; MAX(J173:J176)*100 &amp; " %"</f>
        <v>3.5% - 5.5 %</v>
      </c>
      <c r="K171" s="86" t="s">
        <v>521</v>
      </c>
      <c r="L171" s="7"/>
      <c r="M171" s="29"/>
    </row>
    <row r="172" spans="1:13" s="18" customFormat="1" ht="30" customHeight="1" collapsed="1" x14ac:dyDescent="0.45">
      <c r="A172" s="76" t="s">
        <v>132</v>
      </c>
      <c r="B172" s="77"/>
      <c r="C172" s="78"/>
      <c r="D172" s="80"/>
      <c r="E172" s="82"/>
      <c r="F172" s="84"/>
      <c r="G172" s="82"/>
      <c r="H172" s="82"/>
      <c r="I172" s="82"/>
      <c r="J172" s="89"/>
      <c r="K172" s="87"/>
      <c r="L172" s="7"/>
      <c r="M172" s="29"/>
    </row>
    <row r="173" spans="1:13" ht="28.5" hidden="1" customHeight="1" outlineLevel="1" x14ac:dyDescent="0.45">
      <c r="A173" s="19"/>
      <c r="B173" s="22" t="s">
        <v>133</v>
      </c>
      <c r="C173" s="22" t="s">
        <v>345</v>
      </c>
      <c r="D173" s="30">
        <v>2.5000000000000001E-2</v>
      </c>
      <c r="E173" s="33">
        <v>0.01</v>
      </c>
      <c r="F173" s="33" t="s">
        <v>14</v>
      </c>
      <c r="G173" s="37">
        <v>0.02</v>
      </c>
      <c r="H173" s="31"/>
      <c r="I173" s="31" t="s">
        <v>489</v>
      </c>
      <c r="J173" s="32">
        <f>D173+E173+MAX(F173,G173)+H173</f>
        <v>5.5000000000000007E-2</v>
      </c>
      <c r="K173" s="21" t="s">
        <v>26</v>
      </c>
    </row>
    <row r="174" spans="1:13" ht="28.5" hidden="1" customHeight="1" outlineLevel="1" x14ac:dyDescent="0.45">
      <c r="A174" s="19"/>
      <c r="B174" s="22" t="s">
        <v>134</v>
      </c>
      <c r="C174" s="22" t="s">
        <v>346</v>
      </c>
      <c r="D174" s="30">
        <v>2.5000000000000001E-2</v>
      </c>
      <c r="E174" s="33">
        <v>0.01</v>
      </c>
      <c r="F174" s="33" t="s">
        <v>14</v>
      </c>
      <c r="G174" s="37">
        <v>0.01</v>
      </c>
      <c r="H174" s="31"/>
      <c r="I174" s="31" t="s">
        <v>489</v>
      </c>
      <c r="J174" s="32">
        <f>D174+E174+MAX(F174,G174)+H174</f>
        <v>4.5000000000000005E-2</v>
      </c>
      <c r="K174" s="21"/>
    </row>
    <row r="175" spans="1:13" ht="28.5" hidden="1" customHeight="1" outlineLevel="1" x14ac:dyDescent="0.45">
      <c r="A175" s="26"/>
      <c r="B175" s="24" t="s">
        <v>254</v>
      </c>
      <c r="C175" s="24" t="s">
        <v>347</v>
      </c>
      <c r="D175" s="30">
        <v>2.5000000000000001E-2</v>
      </c>
      <c r="E175" s="33">
        <v>0.01</v>
      </c>
      <c r="F175" s="34"/>
      <c r="G175" s="37">
        <v>0.02</v>
      </c>
      <c r="H175" s="31"/>
      <c r="I175" s="31" t="s">
        <v>489</v>
      </c>
      <c r="J175" s="32">
        <f>D175+E175+MAX(F175,G175)+H175</f>
        <v>5.5000000000000007E-2</v>
      </c>
      <c r="K175" s="21"/>
    </row>
    <row r="176" spans="1:13" ht="28.5" hidden="1" customHeight="1" outlineLevel="1" x14ac:dyDescent="0.45">
      <c r="A176" s="19"/>
      <c r="B176" s="22" t="s">
        <v>135</v>
      </c>
      <c r="C176" s="22" t="s">
        <v>348</v>
      </c>
      <c r="D176" s="30">
        <v>2.5000000000000001E-2</v>
      </c>
      <c r="E176" s="33">
        <v>0.01</v>
      </c>
      <c r="F176" s="33" t="s">
        <v>14</v>
      </c>
      <c r="G176" s="37">
        <v>0.02</v>
      </c>
      <c r="H176" s="31"/>
      <c r="I176" s="31" t="s">
        <v>489</v>
      </c>
      <c r="J176" s="32">
        <f>D176+E176+MAX(F176,G176)+H176</f>
        <v>5.5000000000000007E-2</v>
      </c>
      <c r="K176" s="21" t="s">
        <v>26</v>
      </c>
    </row>
    <row r="177" spans="1:13" s="18" customFormat="1" ht="30" customHeight="1" x14ac:dyDescent="0.45">
      <c r="A177" s="2" t="s">
        <v>136</v>
      </c>
      <c r="B177" s="74"/>
      <c r="C177" s="75"/>
      <c r="D177" s="79">
        <v>2.5000000000000001E-2</v>
      </c>
      <c r="E177" s="79">
        <v>5.0000000000000001E-3</v>
      </c>
      <c r="F177" s="83" t="s">
        <v>26</v>
      </c>
      <c r="G177" s="81" t="str">
        <f>COUNTA(G179:G183) &amp; IF(COUNTA(G179:G183)=1, " bank: ", " banks: ") &amp; "                                 " &amp; IF(MIN(G179:G183)=MAX(G179:G183), MIN(G179:G183)*100 &amp; "%", MIN(G179:G183)*100 &amp; "%-" &amp; MAX(G179:G183)*100 &amp; "%")</f>
        <v>5 banks:                                  0.5%-1%</v>
      </c>
      <c r="H177" s="81"/>
      <c r="I177" s="81" t="s">
        <v>26</v>
      </c>
      <c r="J177" s="138" t="str">
        <f>IF(ISNUMBER(SEARCH("All", H177)), SUM(D179:E179) + H179, SUM(D179:E179))*100 &amp; "% - " &amp; MAX(J179:J184)*100 &amp; " %"</f>
        <v>3% - 4 %</v>
      </c>
      <c r="K177" s="86" t="s">
        <v>559</v>
      </c>
      <c r="L177" s="7"/>
      <c r="M177" s="29"/>
    </row>
    <row r="178" spans="1:13" s="18" customFormat="1" ht="30" customHeight="1" collapsed="1" x14ac:dyDescent="0.45">
      <c r="A178" s="76" t="s">
        <v>137</v>
      </c>
      <c r="B178" s="77"/>
      <c r="C178" s="78"/>
      <c r="D178" s="80"/>
      <c r="E178" s="80"/>
      <c r="F178" s="84"/>
      <c r="G178" s="82"/>
      <c r="H178" s="82"/>
      <c r="I178" s="82"/>
      <c r="J178" s="139"/>
      <c r="K178" s="87"/>
      <c r="L178" s="7"/>
      <c r="M178" s="29"/>
    </row>
    <row r="179" spans="1:13" ht="28.5" hidden="1" customHeight="1" outlineLevel="1" x14ac:dyDescent="0.45">
      <c r="A179" s="19"/>
      <c r="B179" s="22" t="s">
        <v>138</v>
      </c>
      <c r="C179" s="22" t="s">
        <v>349</v>
      </c>
      <c r="D179" s="30">
        <v>2.5000000000000001E-2</v>
      </c>
      <c r="E179" s="33">
        <v>5.0000000000000001E-3</v>
      </c>
      <c r="F179" s="33" t="s">
        <v>14</v>
      </c>
      <c r="G179" s="37">
        <v>0.01</v>
      </c>
      <c r="H179" s="31"/>
      <c r="I179" s="31"/>
      <c r="J179" s="32">
        <f t="shared" ref="J179:J182" si="13">D179+E179+MAX(F179,G179)+H179</f>
        <v>0.04</v>
      </c>
      <c r="K179" s="21"/>
    </row>
    <row r="180" spans="1:13" ht="28.5" hidden="1" customHeight="1" outlineLevel="1" x14ac:dyDescent="0.45">
      <c r="A180" s="19"/>
      <c r="B180" s="22" t="s">
        <v>139</v>
      </c>
      <c r="C180" s="22" t="s">
        <v>350</v>
      </c>
      <c r="D180" s="30">
        <v>2.5000000000000001E-2</v>
      </c>
      <c r="E180" s="33">
        <v>5.0000000000000001E-3</v>
      </c>
      <c r="F180" s="33" t="s">
        <v>14</v>
      </c>
      <c r="G180" s="37">
        <v>5.0000000000000001E-3</v>
      </c>
      <c r="H180" s="31"/>
      <c r="I180" s="31"/>
      <c r="J180" s="32">
        <f t="shared" si="13"/>
        <v>3.5000000000000003E-2</v>
      </c>
      <c r="K180" s="21"/>
    </row>
    <row r="181" spans="1:13" ht="28.5" hidden="1" customHeight="1" outlineLevel="1" x14ac:dyDescent="0.45">
      <c r="A181" s="26"/>
      <c r="B181" s="24" t="s">
        <v>140</v>
      </c>
      <c r="C181" s="24" t="s">
        <v>351</v>
      </c>
      <c r="D181" s="30">
        <v>2.5000000000000001E-2</v>
      </c>
      <c r="E181" s="33">
        <v>5.0000000000000001E-3</v>
      </c>
      <c r="F181" s="34" t="s">
        <v>14</v>
      </c>
      <c r="G181" s="37">
        <v>5.0000000000000001E-3</v>
      </c>
      <c r="H181" s="31"/>
      <c r="I181" s="31"/>
      <c r="J181" s="32">
        <f t="shared" si="13"/>
        <v>3.5000000000000003E-2</v>
      </c>
      <c r="K181" s="21"/>
    </row>
    <row r="182" spans="1:13" ht="28.5" hidden="1" customHeight="1" outlineLevel="1" x14ac:dyDescent="0.45">
      <c r="A182" s="19"/>
      <c r="B182" s="22" t="s">
        <v>141</v>
      </c>
      <c r="C182" s="22" t="s">
        <v>352</v>
      </c>
      <c r="D182" s="30">
        <v>2.5000000000000001E-2</v>
      </c>
      <c r="E182" s="33">
        <v>5.0000000000000001E-3</v>
      </c>
      <c r="F182" s="33" t="s">
        <v>14</v>
      </c>
      <c r="G182" s="37">
        <v>5.0000000000000001E-3</v>
      </c>
      <c r="H182" s="31"/>
      <c r="I182" s="31"/>
      <c r="J182" s="32">
        <f t="shared" si="13"/>
        <v>3.5000000000000003E-2</v>
      </c>
      <c r="K182" s="21"/>
    </row>
    <row r="183" spans="1:13" ht="28.5" hidden="1" customHeight="1" outlineLevel="1" x14ac:dyDescent="0.45">
      <c r="A183" s="19"/>
      <c r="B183" s="22" t="s">
        <v>228</v>
      </c>
      <c r="C183" s="22" t="s">
        <v>353</v>
      </c>
      <c r="D183" s="30">
        <v>2.5000000000000001E-2</v>
      </c>
      <c r="E183" s="33">
        <v>5.0000000000000001E-3</v>
      </c>
      <c r="F183" s="33" t="s">
        <v>14</v>
      </c>
      <c r="G183" s="37">
        <v>5.0000000000000001E-3</v>
      </c>
      <c r="H183" s="31"/>
      <c r="I183" s="31"/>
      <c r="J183" s="32">
        <f t="shared" ref="J183" si="14">D183+E183+MAX(F183,G183)+H183</f>
        <v>3.5000000000000003E-2</v>
      </c>
      <c r="K183" s="21"/>
    </row>
    <row r="184" spans="1:13" ht="28.5" hidden="1" customHeight="1" outlineLevel="1" x14ac:dyDescent="0.45">
      <c r="A184" s="19"/>
      <c r="B184" s="64" t="s">
        <v>560</v>
      </c>
      <c r="C184" s="64" t="s">
        <v>561</v>
      </c>
      <c r="D184" s="60">
        <v>2.5000000000000001E-2</v>
      </c>
      <c r="E184" s="60">
        <v>5.0000000000000001E-3</v>
      </c>
      <c r="F184" s="73"/>
      <c r="G184" s="65">
        <v>0</v>
      </c>
      <c r="H184" s="73"/>
      <c r="I184" s="73"/>
      <c r="J184" s="66">
        <f>D184+E184+G184</f>
        <v>3.0000000000000002E-2</v>
      </c>
      <c r="K184" s="58" t="s">
        <v>562</v>
      </c>
    </row>
    <row r="185" spans="1:13" s="18" customFormat="1" ht="30" customHeight="1" x14ac:dyDescent="0.45">
      <c r="A185" s="2" t="s">
        <v>142</v>
      </c>
      <c r="B185" s="74"/>
      <c r="C185" s="75"/>
      <c r="D185" s="79">
        <v>2.5000000000000001E-2</v>
      </c>
      <c r="E185" s="81">
        <v>0</v>
      </c>
      <c r="F185" s="83" t="s">
        <v>26</v>
      </c>
      <c r="G185" s="81" t="str">
        <f>COUNTA(G187:G190) &amp; IF(COUNTA(G187:G190)=1, " bank: ", " banks: ") &amp; "                                 " &amp; IF(MIN(G187:G190)=MAX(G187:G190), MIN(G187:G190)*100 &amp; "%", MIN(G187:G190)*100 &amp; "%-" &amp; MAX(G187:G190)*100 &amp; "%")</f>
        <v>4 banks:                                  0.4375%-2%</v>
      </c>
      <c r="H185" s="81"/>
      <c r="I185" s="81" t="s">
        <v>487</v>
      </c>
      <c r="J185" s="88" t="str">
        <f>IF(ISNUMBER(SEARCH("All", H185)), SUM(D187:E187) + H187, SUM(D187:E187))*100 &amp; "% - " &amp; MAX(J187:J190)*100 &amp; " %"</f>
        <v>2.5% - 4.5 %</v>
      </c>
      <c r="K185" s="86" t="s">
        <v>563</v>
      </c>
      <c r="L185" s="7"/>
      <c r="M185" s="29"/>
    </row>
    <row r="186" spans="1:13" s="18" customFormat="1" ht="30" customHeight="1" collapsed="1" x14ac:dyDescent="0.45">
      <c r="A186" s="76" t="s">
        <v>143</v>
      </c>
      <c r="B186" s="77"/>
      <c r="C186" s="78"/>
      <c r="D186" s="80"/>
      <c r="E186" s="82"/>
      <c r="F186" s="84"/>
      <c r="G186" s="82"/>
      <c r="H186" s="82"/>
      <c r="I186" s="82"/>
      <c r="J186" s="89"/>
      <c r="K186" s="87"/>
      <c r="L186" s="7"/>
      <c r="M186" s="29"/>
    </row>
    <row r="187" spans="1:13" ht="28.5" hidden="1" customHeight="1" outlineLevel="1" x14ac:dyDescent="0.45">
      <c r="A187" s="19"/>
      <c r="B187" s="22" t="s">
        <v>144</v>
      </c>
      <c r="C187" s="22" t="s">
        <v>354</v>
      </c>
      <c r="D187" s="30">
        <v>2.5000000000000001E-2</v>
      </c>
      <c r="E187" s="33">
        <v>0</v>
      </c>
      <c r="F187" s="33" t="s">
        <v>14</v>
      </c>
      <c r="G187" s="37">
        <v>0.02</v>
      </c>
      <c r="H187" s="31"/>
      <c r="I187" s="31" t="s">
        <v>486</v>
      </c>
      <c r="J187" s="32">
        <f>D187+E187+MAX(F187,G187)+H187</f>
        <v>4.4999999999999998E-2</v>
      </c>
      <c r="K187" s="21"/>
    </row>
    <row r="188" spans="1:13" ht="28.5" hidden="1" customHeight="1" outlineLevel="1" x14ac:dyDescent="0.45">
      <c r="A188" s="19"/>
      <c r="B188" s="22" t="s">
        <v>145</v>
      </c>
      <c r="C188" s="22" t="s">
        <v>355</v>
      </c>
      <c r="D188" s="30">
        <v>2.5000000000000001E-2</v>
      </c>
      <c r="E188" s="33">
        <v>0</v>
      </c>
      <c r="F188" s="33" t="s">
        <v>14</v>
      </c>
      <c r="G188" s="39">
        <v>1.2500000000000001E-2</v>
      </c>
      <c r="H188" s="31"/>
      <c r="I188" s="31" t="s">
        <v>486</v>
      </c>
      <c r="J188" s="32">
        <f>D188+E188+MAX(F188,G188)+H188</f>
        <v>3.7500000000000006E-2</v>
      </c>
      <c r="K188" s="21"/>
    </row>
    <row r="189" spans="1:13" ht="28.5" hidden="1" customHeight="1" outlineLevel="1" x14ac:dyDescent="0.45">
      <c r="A189" s="26"/>
      <c r="B189" s="24" t="s">
        <v>146</v>
      </c>
      <c r="C189" s="24" t="s">
        <v>356</v>
      </c>
      <c r="D189" s="30">
        <v>2.5000000000000001E-2</v>
      </c>
      <c r="E189" s="33">
        <v>0</v>
      </c>
      <c r="F189" s="34"/>
      <c r="G189" s="55">
        <v>4.3750000000000004E-3</v>
      </c>
      <c r="H189" s="31"/>
      <c r="I189" s="31" t="s">
        <v>486</v>
      </c>
      <c r="J189" s="57">
        <f>D189+E189+MAX(F189,G189)+H189</f>
        <v>2.9375000000000002E-2</v>
      </c>
      <c r="K189" s="21" t="s">
        <v>519</v>
      </c>
    </row>
    <row r="190" spans="1:13" ht="28.5" hidden="1" customHeight="1" outlineLevel="1" x14ac:dyDescent="0.45">
      <c r="A190" s="23"/>
      <c r="B190" s="24" t="s">
        <v>225</v>
      </c>
      <c r="C190" s="24" t="s">
        <v>357</v>
      </c>
      <c r="D190" s="30">
        <v>2.5000000000000001E-2</v>
      </c>
      <c r="E190" s="33">
        <v>0</v>
      </c>
      <c r="F190" s="33" t="s">
        <v>14</v>
      </c>
      <c r="G190" s="37">
        <v>0.01</v>
      </c>
      <c r="H190" s="31"/>
      <c r="I190" s="31" t="s">
        <v>486</v>
      </c>
      <c r="J190" s="32">
        <f>D190+E190+MAX(F190,G190)+H190</f>
        <v>3.5000000000000003E-2</v>
      </c>
      <c r="K190" s="21"/>
    </row>
    <row r="191" spans="1:13" s="18" customFormat="1" ht="30" customHeight="1" x14ac:dyDescent="0.45">
      <c r="A191" s="2" t="s">
        <v>147</v>
      </c>
      <c r="B191" s="74"/>
      <c r="C191" s="75"/>
      <c r="D191" s="112">
        <v>2.5000000000000001E-2</v>
      </c>
      <c r="E191" s="85">
        <v>0.02</v>
      </c>
      <c r="F191" s="85" t="str">
        <f>COUNTA(F193:F197) &amp; IF(COUNTA(F193:F197)=1, " bank: ", " banks: ") &amp; "                                 " &amp; IF(MIN(F193:F197)=MAX(F193:F197), MIN(F193:F197)*100 &amp; "%", MIN(F193:F197)*100 &amp; "%-" &amp; MAX(F193:F197)*100 &amp; "%")</f>
        <v>1 bank:                                  1%</v>
      </c>
      <c r="G191" s="85" t="str">
        <f>COUNTA(G193:G197) &amp; IF(COUNTA(G193:G197)=1, " bank: ", " banks: ") &amp; "                                 " &amp; IF(MIN(G193:G197)=MAX(G193:G197), MIN(G193:G197)*100 &amp; "%", MIN(G193:G197)*100 &amp; "%-" &amp; MAX(G193:G197)*100 &amp; "%")</f>
        <v>5 banks:                                  0.25%-2%</v>
      </c>
      <c r="H191" s="85"/>
      <c r="I191" s="85"/>
      <c r="J191" s="114" t="str">
        <f>IF(ISNUMBER(SEARCH("All", H191)), SUM(D193:E193) + H193, SUM(D193:E193))*100 &amp; "% - " &amp; MAX(J193:J197)*100 &amp; " %"</f>
        <v>4.5% - 6.5 %</v>
      </c>
      <c r="K191" s="136"/>
      <c r="L191" s="7"/>
      <c r="M191" s="29"/>
    </row>
    <row r="192" spans="1:13" s="18" customFormat="1" ht="30" customHeight="1" collapsed="1" x14ac:dyDescent="0.45">
      <c r="A192" s="76" t="s">
        <v>148</v>
      </c>
      <c r="B192" s="77"/>
      <c r="C192" s="78"/>
      <c r="D192" s="80"/>
      <c r="E192" s="82"/>
      <c r="F192" s="82"/>
      <c r="G192" s="82"/>
      <c r="H192" s="82"/>
      <c r="I192" s="82"/>
      <c r="J192" s="89"/>
      <c r="K192" s="137"/>
      <c r="L192" s="7"/>
      <c r="M192" s="29"/>
    </row>
    <row r="193" spans="1:13" ht="28.5" hidden="1" customHeight="1" outlineLevel="1" x14ac:dyDescent="0.45">
      <c r="A193" s="19"/>
      <c r="B193" s="22" t="s">
        <v>149</v>
      </c>
      <c r="C193" s="22" t="s">
        <v>358</v>
      </c>
      <c r="D193" s="30">
        <v>2.5000000000000001E-2</v>
      </c>
      <c r="E193" s="33">
        <v>0.02</v>
      </c>
      <c r="F193" s="33"/>
      <c r="G193" s="39">
        <v>1.2500000000000001E-2</v>
      </c>
      <c r="H193" s="31"/>
      <c r="I193" s="31"/>
      <c r="J193" s="32">
        <f>D193+E193+MAX(F193,G193)+H193</f>
        <v>5.7499999999999996E-2</v>
      </c>
      <c r="K193" s="21"/>
    </row>
    <row r="194" spans="1:13" ht="28.5" hidden="1" customHeight="1" outlineLevel="1" x14ac:dyDescent="0.45">
      <c r="A194" s="19"/>
      <c r="B194" s="22" t="s">
        <v>150</v>
      </c>
      <c r="C194" s="22" t="s">
        <v>359</v>
      </c>
      <c r="D194" s="30">
        <v>2.5000000000000001E-2</v>
      </c>
      <c r="E194" s="33">
        <v>0.02</v>
      </c>
      <c r="F194" s="33"/>
      <c r="G194" s="39">
        <v>2.5000000000000001E-3</v>
      </c>
      <c r="H194" s="31"/>
      <c r="I194" s="31"/>
      <c r="J194" s="32">
        <f>D194+E194+MAX(F194,G194)+H194</f>
        <v>4.7500000000000001E-2</v>
      </c>
      <c r="K194" s="21"/>
    </row>
    <row r="195" spans="1:13" ht="28.5" hidden="1" customHeight="1" outlineLevel="1" x14ac:dyDescent="0.45">
      <c r="A195" s="26"/>
      <c r="B195" s="24" t="s">
        <v>151</v>
      </c>
      <c r="C195" s="24" t="s">
        <v>360</v>
      </c>
      <c r="D195" s="30">
        <v>2.5000000000000001E-2</v>
      </c>
      <c r="E195" s="33">
        <v>0.02</v>
      </c>
      <c r="F195" s="34"/>
      <c r="G195" s="39">
        <v>1.4999999999999999E-2</v>
      </c>
      <c r="H195" s="31"/>
      <c r="I195" s="31"/>
      <c r="J195" s="32">
        <f>D195+E195+MAX(F195,G195)+H195</f>
        <v>0.06</v>
      </c>
      <c r="K195" s="21"/>
    </row>
    <row r="196" spans="1:13" ht="28.5" hidden="1" customHeight="1" outlineLevel="1" x14ac:dyDescent="0.45">
      <c r="A196" s="19"/>
      <c r="B196" s="22" t="s">
        <v>152</v>
      </c>
      <c r="C196" s="22" t="s">
        <v>361</v>
      </c>
      <c r="D196" s="30">
        <v>2.5000000000000001E-2</v>
      </c>
      <c r="E196" s="33">
        <v>0.02</v>
      </c>
      <c r="F196" s="33">
        <v>0.01</v>
      </c>
      <c r="G196" s="37">
        <v>0.02</v>
      </c>
      <c r="H196" s="31"/>
      <c r="I196" s="31"/>
      <c r="J196" s="32">
        <f>D196+E196+MAX(F196,G196)+H196</f>
        <v>6.5000000000000002E-2</v>
      </c>
      <c r="K196" s="21"/>
    </row>
    <row r="197" spans="1:13" ht="28.5" hidden="1" customHeight="1" outlineLevel="1" x14ac:dyDescent="0.45">
      <c r="A197" s="19"/>
      <c r="B197" s="22" t="s">
        <v>153</v>
      </c>
      <c r="C197" s="22" t="s">
        <v>362</v>
      </c>
      <c r="D197" s="30">
        <v>2.5000000000000001E-2</v>
      </c>
      <c r="E197" s="33">
        <v>0.02</v>
      </c>
      <c r="F197" s="33"/>
      <c r="G197" s="39">
        <v>2.5000000000000001E-3</v>
      </c>
      <c r="H197" s="31"/>
      <c r="I197" s="31"/>
      <c r="J197" s="32">
        <f>D197+E197+MAX(F197,G197)+H197</f>
        <v>4.7500000000000001E-2</v>
      </c>
      <c r="K197" s="21"/>
    </row>
    <row r="198" spans="1:13" s="18" customFormat="1" ht="30" customHeight="1" x14ac:dyDescent="0.45">
      <c r="A198" s="2" t="s">
        <v>154</v>
      </c>
      <c r="B198" s="74"/>
      <c r="C198" s="75"/>
      <c r="D198" s="79">
        <v>2.5000000000000001E-2</v>
      </c>
      <c r="E198" s="81">
        <v>2.5000000000000001E-2</v>
      </c>
      <c r="F198" s="83" t="s">
        <v>26</v>
      </c>
      <c r="G198" s="81" t="str">
        <f>COUNTA(G200:G203) &amp; IF(COUNTA(G200:G203)=1, " bank: ", " banks: ") &amp; "                                 " &amp; IF(MIN(G200:G203)=MAX(G200:G203), MIN(G200:G203)*100 &amp; "%", MIN(G200:G203)*100 &amp; "%-" &amp; MAX(G200:G203)*100 &amp; "%")</f>
        <v>4 banks:                                  1%-2%</v>
      </c>
      <c r="H198" s="81" t="s">
        <v>478</v>
      </c>
      <c r="I198" s="81"/>
      <c r="J198" s="88" t="str">
        <f>IF(ISNUMBER(SEARCH("All", H198)), SUM(D200:E200) + H200, SUM(D200:E200))*100 &amp; "% - " &amp; MAX(J200:J203)*100 &amp; " %"</f>
        <v>9.5% - 11.5 %</v>
      </c>
      <c r="K198" s="86" t="s">
        <v>505</v>
      </c>
      <c r="L198" s="7"/>
      <c r="M198" s="29"/>
    </row>
    <row r="199" spans="1:13" s="18" customFormat="1" ht="30" customHeight="1" collapsed="1" x14ac:dyDescent="0.45">
      <c r="A199" s="76" t="s">
        <v>155</v>
      </c>
      <c r="B199" s="77"/>
      <c r="C199" s="78"/>
      <c r="D199" s="80"/>
      <c r="E199" s="82"/>
      <c r="F199" s="84"/>
      <c r="G199" s="82"/>
      <c r="H199" s="82"/>
      <c r="I199" s="82"/>
      <c r="J199" s="89"/>
      <c r="K199" s="87"/>
      <c r="L199" s="7"/>
      <c r="M199" s="29"/>
    </row>
    <row r="200" spans="1:13" ht="28.5" hidden="1" customHeight="1" outlineLevel="1" x14ac:dyDescent="0.45">
      <c r="A200" s="19"/>
      <c r="B200" s="22" t="s">
        <v>156</v>
      </c>
      <c r="C200" s="22" t="s">
        <v>420</v>
      </c>
      <c r="D200" s="30">
        <v>2.5000000000000001E-2</v>
      </c>
      <c r="E200" s="33">
        <v>2.5000000000000001E-2</v>
      </c>
      <c r="F200" s="33" t="s">
        <v>26</v>
      </c>
      <c r="G200" s="37">
        <v>0.02</v>
      </c>
      <c r="H200" s="31">
        <v>4.4999999999999998E-2</v>
      </c>
      <c r="I200" s="31"/>
      <c r="J200" s="32">
        <f>D200+E200+MAX(F200,G200)+H200</f>
        <v>0.115</v>
      </c>
      <c r="K200" s="21"/>
    </row>
    <row r="201" spans="1:13" ht="28.5" hidden="1" customHeight="1" outlineLevel="1" x14ac:dyDescent="0.45">
      <c r="A201" s="19"/>
      <c r="B201" s="22" t="s">
        <v>157</v>
      </c>
      <c r="C201" s="22" t="s">
        <v>421</v>
      </c>
      <c r="D201" s="30">
        <v>2.5000000000000001E-2</v>
      </c>
      <c r="E201" s="33">
        <v>2.5000000000000001E-2</v>
      </c>
      <c r="F201" s="33" t="s">
        <v>26</v>
      </c>
      <c r="G201" s="37">
        <v>0.01</v>
      </c>
      <c r="H201" s="31">
        <v>4.4999999999999998E-2</v>
      </c>
      <c r="I201" s="31"/>
      <c r="J201" s="32">
        <f>D201+E201+MAX(F201,G201)+H201</f>
        <v>0.10500000000000001</v>
      </c>
      <c r="K201" s="21"/>
    </row>
    <row r="202" spans="1:13" ht="28.5" hidden="1" customHeight="1" outlineLevel="1" x14ac:dyDescent="0.45">
      <c r="A202" s="26"/>
      <c r="B202" s="24" t="s">
        <v>230</v>
      </c>
      <c r="C202" s="24" t="s">
        <v>422</v>
      </c>
      <c r="D202" s="30">
        <v>2.5000000000000001E-2</v>
      </c>
      <c r="E202" s="33">
        <v>2.5000000000000001E-2</v>
      </c>
      <c r="F202" s="34"/>
      <c r="G202" s="37">
        <v>0.01</v>
      </c>
      <c r="H202" s="31">
        <v>4.4999999999999998E-2</v>
      </c>
      <c r="I202" s="31"/>
      <c r="J202" s="32">
        <f>D202+E202+MAX(F202,G202)+H202</f>
        <v>0.10500000000000001</v>
      </c>
      <c r="K202" s="21"/>
    </row>
    <row r="203" spans="1:13" ht="28.5" hidden="1" customHeight="1" outlineLevel="1" x14ac:dyDescent="0.45">
      <c r="A203" s="19"/>
      <c r="B203" s="22" t="s">
        <v>537</v>
      </c>
      <c r="C203" s="22" t="s">
        <v>456</v>
      </c>
      <c r="D203" s="30">
        <v>2.5000000000000001E-2</v>
      </c>
      <c r="E203" s="33">
        <v>2.5000000000000001E-2</v>
      </c>
      <c r="F203" s="33"/>
      <c r="G203" s="37">
        <v>0.01</v>
      </c>
      <c r="H203" s="31">
        <v>4.4999999999999998E-2</v>
      </c>
      <c r="I203" s="31"/>
      <c r="J203" s="32">
        <f>D203+E203+MAX(F203,G203)+H203</f>
        <v>0.10500000000000001</v>
      </c>
      <c r="K203" s="21"/>
    </row>
    <row r="204" spans="1:13" ht="20.25" customHeight="1" x14ac:dyDescent="0.45">
      <c r="A204" s="143" t="s">
        <v>158</v>
      </c>
      <c r="B204" s="144"/>
      <c r="C204" s="145"/>
      <c r="D204" s="149">
        <v>2.5000000000000001E-2</v>
      </c>
      <c r="E204" s="131">
        <v>0.01</v>
      </c>
      <c r="F204" s="152" t="s">
        <v>26</v>
      </c>
      <c r="G204" s="155" t="str">
        <f>COUNTA(G207:G216) &amp; IF(COUNTA(G207:G216)=1, " bank: ", " banks: ") &amp; "                                 " &amp; IF(MIN(G207:G216)=MAX(G207:G216), MIN(G207:G216)*100 &amp; "%", MIN(G207:G216)*100 &amp; "%-" &amp; MAX(G207:G216)*100 &amp; "%")</f>
        <v>10 banks:                                  0.25%-2%</v>
      </c>
      <c r="H204" s="81"/>
      <c r="I204" s="158"/>
      <c r="J204" s="161" t="str">
        <f>IF(ISNUMBER(SEARCH("All", H204)), SUM(D207:E207) + H207, SUM(D207:E207))*100 &amp; "% - " &amp; MAX(J207:J216)*100 &amp; " %"</f>
        <v>3.5% - 5.5 %</v>
      </c>
      <c r="K204" s="136" t="s">
        <v>544</v>
      </c>
    </row>
    <row r="205" spans="1:13" s="17" customFormat="1" ht="20.25" customHeight="1" x14ac:dyDescent="0.45">
      <c r="A205" s="146" t="s">
        <v>159</v>
      </c>
      <c r="B205" s="147"/>
      <c r="C205" s="148"/>
      <c r="D205" s="150"/>
      <c r="E205" s="132"/>
      <c r="F205" s="153"/>
      <c r="G205" s="156"/>
      <c r="H205" s="85"/>
      <c r="I205" s="159"/>
      <c r="J205" s="162"/>
      <c r="K205" s="137"/>
      <c r="M205" s="28"/>
    </row>
    <row r="206" spans="1:13" s="17" customFormat="1" ht="20.25" customHeight="1" collapsed="1" x14ac:dyDescent="0.45">
      <c r="A206" s="140" t="s">
        <v>160</v>
      </c>
      <c r="B206" s="141"/>
      <c r="C206" s="142"/>
      <c r="D206" s="151"/>
      <c r="E206" s="133"/>
      <c r="F206" s="154"/>
      <c r="G206" s="157"/>
      <c r="H206" s="82"/>
      <c r="I206" s="160"/>
      <c r="J206" s="163"/>
      <c r="K206" s="164"/>
      <c r="M206" s="28"/>
    </row>
    <row r="207" spans="1:13" ht="28.5" hidden="1" customHeight="1" outlineLevel="1" x14ac:dyDescent="0.45">
      <c r="A207" s="19"/>
      <c r="B207" s="22" t="s">
        <v>161</v>
      </c>
      <c r="C207" s="22" t="s">
        <v>423</v>
      </c>
      <c r="D207" s="30">
        <v>2.5000000000000001E-2</v>
      </c>
      <c r="E207" s="33">
        <v>0.01</v>
      </c>
      <c r="F207" s="33" t="s">
        <v>26</v>
      </c>
      <c r="G207" s="68">
        <v>2.5000000000000001E-3</v>
      </c>
      <c r="H207" s="31"/>
      <c r="I207" s="31"/>
      <c r="J207" s="32">
        <f t="shared" ref="J207:J216" si="15">D207+E207+MAX(F207,G207)+H207</f>
        <v>3.7500000000000006E-2</v>
      </c>
      <c r="K207" s="21"/>
    </row>
    <row r="208" spans="1:13" ht="28.5" hidden="1" customHeight="1" outlineLevel="1" x14ac:dyDescent="0.45">
      <c r="A208" s="19"/>
      <c r="B208" s="22" t="s">
        <v>162</v>
      </c>
      <c r="C208" s="22" t="s">
        <v>424</v>
      </c>
      <c r="D208" s="30">
        <v>2.5000000000000001E-2</v>
      </c>
      <c r="E208" s="33">
        <v>0.01</v>
      </c>
      <c r="F208" s="33" t="s">
        <v>26</v>
      </c>
      <c r="G208" s="39">
        <v>2.5000000000000001E-3</v>
      </c>
      <c r="H208" s="31"/>
      <c r="I208" s="31"/>
      <c r="J208" s="32">
        <f t="shared" si="15"/>
        <v>3.7500000000000006E-2</v>
      </c>
      <c r="K208" s="21"/>
    </row>
    <row r="209" spans="1:13" ht="28.5" hidden="1" customHeight="1" outlineLevel="1" x14ac:dyDescent="0.45">
      <c r="A209" s="26"/>
      <c r="B209" s="24" t="s">
        <v>163</v>
      </c>
      <c r="C209" s="24" t="s">
        <v>425</v>
      </c>
      <c r="D209" s="30">
        <v>2.5000000000000001E-2</v>
      </c>
      <c r="E209" s="33">
        <v>0.01</v>
      </c>
      <c r="F209" s="34" t="s">
        <v>26</v>
      </c>
      <c r="G209" s="37">
        <v>0.01</v>
      </c>
      <c r="H209" s="31"/>
      <c r="I209" s="31"/>
      <c r="J209" s="32">
        <f t="shared" si="15"/>
        <v>4.5000000000000005E-2</v>
      </c>
      <c r="K209" s="21"/>
    </row>
    <row r="210" spans="1:13" ht="28.5" hidden="1" customHeight="1" outlineLevel="1" x14ac:dyDescent="0.45">
      <c r="A210" s="19"/>
      <c r="B210" s="22" t="s">
        <v>164</v>
      </c>
      <c r="C210" s="22" t="s">
        <v>426</v>
      </c>
      <c r="D210" s="30">
        <v>2.5000000000000001E-2</v>
      </c>
      <c r="E210" s="33">
        <v>0.01</v>
      </c>
      <c r="F210" s="33" t="s">
        <v>26</v>
      </c>
      <c r="G210" s="39">
        <v>2.5000000000000001E-3</v>
      </c>
      <c r="H210" s="31"/>
      <c r="I210" s="31"/>
      <c r="J210" s="32">
        <f t="shared" si="15"/>
        <v>3.7500000000000006E-2</v>
      </c>
      <c r="K210" s="21"/>
    </row>
    <row r="211" spans="1:13" ht="28.5" hidden="1" customHeight="1" outlineLevel="1" x14ac:dyDescent="0.45">
      <c r="A211" s="19"/>
      <c r="B211" s="22" t="s">
        <v>165</v>
      </c>
      <c r="C211" s="22" t="s">
        <v>427</v>
      </c>
      <c r="D211" s="30">
        <v>2.5000000000000001E-2</v>
      </c>
      <c r="E211" s="33">
        <v>0.01</v>
      </c>
      <c r="F211" s="33" t="s">
        <v>26</v>
      </c>
      <c r="G211" s="69">
        <v>1.4999999999999999E-2</v>
      </c>
      <c r="H211" s="31"/>
      <c r="I211" s="31"/>
      <c r="J211" s="32">
        <f t="shared" si="15"/>
        <v>0.05</v>
      </c>
      <c r="K211" s="21"/>
    </row>
    <row r="212" spans="1:13" ht="28.5" hidden="1" customHeight="1" outlineLevel="1" x14ac:dyDescent="0.45">
      <c r="A212" s="19"/>
      <c r="B212" s="22" t="s">
        <v>166</v>
      </c>
      <c r="C212" s="22" t="s">
        <v>428</v>
      </c>
      <c r="D212" s="30">
        <v>2.5000000000000001E-2</v>
      </c>
      <c r="E212" s="33">
        <v>0.01</v>
      </c>
      <c r="F212" s="33" t="s">
        <v>26</v>
      </c>
      <c r="G212" s="37">
        <v>0.01</v>
      </c>
      <c r="H212" s="31"/>
      <c r="I212" s="31"/>
      <c r="J212" s="32">
        <f t="shared" si="15"/>
        <v>4.5000000000000005E-2</v>
      </c>
      <c r="K212" s="21"/>
    </row>
    <row r="213" spans="1:13" ht="28.5" hidden="1" customHeight="1" outlineLevel="1" x14ac:dyDescent="0.45">
      <c r="A213" s="26"/>
      <c r="B213" s="24" t="s">
        <v>167</v>
      </c>
      <c r="C213" s="24" t="s">
        <v>425</v>
      </c>
      <c r="D213" s="30">
        <v>2.5000000000000001E-2</v>
      </c>
      <c r="E213" s="33">
        <v>0.01</v>
      </c>
      <c r="F213" s="34" t="s">
        <v>26</v>
      </c>
      <c r="G213" s="37">
        <v>5.0000000000000001E-3</v>
      </c>
      <c r="H213" s="31"/>
      <c r="I213" s="31"/>
      <c r="J213" s="32">
        <f t="shared" si="15"/>
        <v>0.04</v>
      </c>
      <c r="K213" s="21"/>
    </row>
    <row r="214" spans="1:13" ht="28.5" hidden="1" customHeight="1" outlineLevel="1" x14ac:dyDescent="0.45">
      <c r="A214" s="19"/>
      <c r="B214" s="22" t="s">
        <v>168</v>
      </c>
      <c r="C214" s="22" t="s">
        <v>429</v>
      </c>
      <c r="D214" s="30">
        <v>2.5000000000000001E-2</v>
      </c>
      <c r="E214" s="33">
        <v>0.01</v>
      </c>
      <c r="F214" s="33" t="s">
        <v>26</v>
      </c>
      <c r="G214" s="37">
        <v>0.02</v>
      </c>
      <c r="H214" s="31"/>
      <c r="I214" s="31"/>
      <c r="J214" s="32">
        <f t="shared" si="15"/>
        <v>5.5000000000000007E-2</v>
      </c>
      <c r="K214" s="21"/>
    </row>
    <row r="215" spans="1:13" ht="28.5" hidden="1" customHeight="1" outlineLevel="1" x14ac:dyDescent="0.45">
      <c r="A215" s="19"/>
      <c r="B215" s="22" t="s">
        <v>169</v>
      </c>
      <c r="C215" s="22" t="s">
        <v>430</v>
      </c>
      <c r="D215" s="30">
        <v>2.5000000000000001E-2</v>
      </c>
      <c r="E215" s="33">
        <v>0.01</v>
      </c>
      <c r="F215" s="33" t="s">
        <v>26</v>
      </c>
      <c r="G215" s="39">
        <v>2.5000000000000001E-3</v>
      </c>
      <c r="H215" s="31"/>
      <c r="I215" s="31"/>
      <c r="J215" s="32">
        <f t="shared" si="15"/>
        <v>3.7500000000000006E-2</v>
      </c>
      <c r="K215" s="21"/>
    </row>
    <row r="216" spans="1:13" ht="28.5" hidden="1" customHeight="1" outlineLevel="1" x14ac:dyDescent="0.45">
      <c r="A216" s="19"/>
      <c r="B216" s="22" t="s">
        <v>221</v>
      </c>
      <c r="C216" s="22" t="s">
        <v>431</v>
      </c>
      <c r="D216" s="30">
        <v>2.5000000000000001E-2</v>
      </c>
      <c r="E216" s="33">
        <v>0.01</v>
      </c>
      <c r="F216" s="33"/>
      <c r="G216" s="39">
        <v>2.5000000000000001E-3</v>
      </c>
      <c r="H216" s="31"/>
      <c r="I216" s="31"/>
      <c r="J216" s="32">
        <f t="shared" si="15"/>
        <v>3.7500000000000006E-2</v>
      </c>
      <c r="K216" s="21"/>
    </row>
    <row r="217" spans="1:13" s="18" customFormat="1" ht="46.15" customHeight="1" x14ac:dyDescent="0.45">
      <c r="A217" s="2" t="s">
        <v>170</v>
      </c>
      <c r="B217" s="74"/>
      <c r="C217" s="75"/>
      <c r="D217" s="79">
        <v>2.5000000000000001E-2</v>
      </c>
      <c r="E217" s="81">
        <v>0</v>
      </c>
      <c r="F217" s="83" t="s">
        <v>26</v>
      </c>
      <c r="G217" s="81" t="str">
        <f>COUNTA(G219:G225) &amp; IF(COUNTA(G219:G225)=1, " bank: ", " banks: ") &amp; "                                 " &amp; IF(MIN(G219:G225)=MAX(G219:G225), MIN(G219:G225)*100 &amp; "%", MIN(G219:G225)*100 &amp; "%-" &amp; MAX(G219:G225)*100 &amp; "%")</f>
        <v>7 banks:                                  0.25%-1%</v>
      </c>
      <c r="H217" s="81"/>
      <c r="I217" s="81" t="s">
        <v>517</v>
      </c>
      <c r="J217" s="88" t="str">
        <f>IF(ISNUMBER(SEARCH("All", H217)), SUM(D219:E219) + H219, SUM(D219:E219))*100 &amp; "% - " &amp; MAX(J219:J225)*100 &amp; " %"</f>
        <v>2.5% - 3.5 %</v>
      </c>
      <c r="K217" s="86" t="s">
        <v>564</v>
      </c>
      <c r="L217" s="7"/>
      <c r="M217" s="29"/>
    </row>
    <row r="218" spans="1:13" s="18" customFormat="1" ht="30" customHeight="1" x14ac:dyDescent="0.45">
      <c r="A218" s="76" t="s">
        <v>171</v>
      </c>
      <c r="B218" s="77"/>
      <c r="C218" s="78"/>
      <c r="D218" s="80"/>
      <c r="E218" s="82"/>
      <c r="F218" s="84"/>
      <c r="G218" s="82"/>
      <c r="H218" s="82"/>
      <c r="I218" s="82"/>
      <c r="J218" s="89"/>
      <c r="K218" s="87"/>
      <c r="L218" s="7"/>
      <c r="M218" s="29"/>
    </row>
    <row r="219" spans="1:13" ht="28.5" customHeight="1" outlineLevel="1" x14ac:dyDescent="0.45">
      <c r="A219" s="19"/>
      <c r="B219" s="22" t="s">
        <v>172</v>
      </c>
      <c r="C219" s="22" t="s">
        <v>363</v>
      </c>
      <c r="D219" s="30">
        <v>2.5000000000000001E-2</v>
      </c>
      <c r="E219" s="33">
        <v>0</v>
      </c>
      <c r="F219" s="33" t="s">
        <v>14</v>
      </c>
      <c r="G219" s="37">
        <v>5.0000000000000001E-3</v>
      </c>
      <c r="H219" s="31"/>
      <c r="I219" s="31" t="s">
        <v>507</v>
      </c>
      <c r="J219" s="32">
        <f t="shared" ref="J219:J225" si="16">D219+E219+MAX(F219,G219)+H219</f>
        <v>3.0000000000000002E-2</v>
      </c>
      <c r="K219" s="21"/>
    </row>
    <row r="220" spans="1:13" ht="28.5" customHeight="1" outlineLevel="1" x14ac:dyDescent="0.45">
      <c r="A220" s="19"/>
      <c r="B220" s="22" t="s">
        <v>173</v>
      </c>
      <c r="C220" s="22" t="s">
        <v>364</v>
      </c>
      <c r="D220" s="30">
        <v>2.5000000000000001E-2</v>
      </c>
      <c r="E220" s="33">
        <v>0</v>
      </c>
      <c r="F220" s="33" t="s">
        <v>14</v>
      </c>
      <c r="G220" s="37">
        <v>0.01</v>
      </c>
      <c r="H220" s="31"/>
      <c r="I220" s="31" t="s">
        <v>507</v>
      </c>
      <c r="J220" s="32">
        <f t="shared" si="16"/>
        <v>3.5000000000000003E-2</v>
      </c>
      <c r="K220" s="21"/>
    </row>
    <row r="221" spans="1:13" ht="28.5" customHeight="1" outlineLevel="1" x14ac:dyDescent="0.45">
      <c r="A221" s="26"/>
      <c r="B221" s="24" t="s">
        <v>174</v>
      </c>
      <c r="C221" s="24" t="s">
        <v>365</v>
      </c>
      <c r="D221" s="30">
        <v>2.5000000000000001E-2</v>
      </c>
      <c r="E221" s="33">
        <v>0</v>
      </c>
      <c r="F221" s="34" t="s">
        <v>14</v>
      </c>
      <c r="G221" s="39">
        <v>7.4999999999999997E-3</v>
      </c>
      <c r="H221" s="31"/>
      <c r="I221" s="31" t="s">
        <v>507</v>
      </c>
      <c r="J221" s="32">
        <f t="shared" si="16"/>
        <v>3.2500000000000001E-2</v>
      </c>
      <c r="K221" s="21"/>
    </row>
    <row r="222" spans="1:13" ht="28.5" customHeight="1" outlineLevel="1" x14ac:dyDescent="0.45">
      <c r="A222" s="19"/>
      <c r="B222" s="22" t="s">
        <v>175</v>
      </c>
      <c r="C222" s="22" t="s">
        <v>366</v>
      </c>
      <c r="D222" s="30">
        <v>2.5000000000000001E-2</v>
      </c>
      <c r="E222" s="33">
        <v>0</v>
      </c>
      <c r="F222" s="33" t="s">
        <v>14</v>
      </c>
      <c r="G222" s="39">
        <v>2.5000000000000001E-3</v>
      </c>
      <c r="H222" s="31"/>
      <c r="I222" s="31"/>
      <c r="J222" s="32">
        <f t="shared" si="16"/>
        <v>2.75E-2</v>
      </c>
      <c r="K222" s="21"/>
    </row>
    <row r="223" spans="1:13" ht="28.5" customHeight="1" outlineLevel="1" x14ac:dyDescent="0.45">
      <c r="A223" s="19"/>
      <c r="B223" s="22" t="s">
        <v>176</v>
      </c>
      <c r="C223" s="22" t="s">
        <v>367</v>
      </c>
      <c r="D223" s="30">
        <v>2.5000000000000001E-2</v>
      </c>
      <c r="E223" s="33">
        <v>0</v>
      </c>
      <c r="F223" s="33" t="s">
        <v>14</v>
      </c>
      <c r="G223" s="39">
        <v>7.4999999999999997E-3</v>
      </c>
      <c r="H223" s="31"/>
      <c r="I223" s="31"/>
      <c r="J223" s="32">
        <f t="shared" si="16"/>
        <v>3.2500000000000001E-2</v>
      </c>
      <c r="K223" s="21"/>
    </row>
    <row r="224" spans="1:13" ht="28.5" customHeight="1" outlineLevel="1" x14ac:dyDescent="0.45">
      <c r="A224" s="19"/>
      <c r="B224" s="22" t="s">
        <v>256</v>
      </c>
      <c r="C224" s="22" t="s">
        <v>368</v>
      </c>
      <c r="D224" s="30">
        <v>2.5000000000000001E-2</v>
      </c>
      <c r="E224" s="33">
        <v>0</v>
      </c>
      <c r="F224" s="33"/>
      <c r="G224" s="39">
        <v>2.5000000000000001E-3</v>
      </c>
      <c r="H224" s="31"/>
      <c r="I224" s="31"/>
      <c r="J224" s="32">
        <f t="shared" si="16"/>
        <v>2.75E-2</v>
      </c>
      <c r="K224" s="21"/>
    </row>
    <row r="225" spans="1:13" ht="28.5" customHeight="1" outlineLevel="1" x14ac:dyDescent="0.45">
      <c r="A225" s="26"/>
      <c r="B225" s="24" t="s">
        <v>177</v>
      </c>
      <c r="C225" s="24" t="s">
        <v>369</v>
      </c>
      <c r="D225" s="30">
        <v>2.5000000000000001E-2</v>
      </c>
      <c r="E225" s="33">
        <v>0</v>
      </c>
      <c r="F225" s="34" t="s">
        <v>14</v>
      </c>
      <c r="G225" s="37">
        <v>5.0000000000000001E-3</v>
      </c>
      <c r="H225" s="31"/>
      <c r="I225" s="31" t="s">
        <v>507</v>
      </c>
      <c r="J225" s="32">
        <f t="shared" si="16"/>
        <v>3.0000000000000002E-2</v>
      </c>
      <c r="K225" s="21" t="s">
        <v>541</v>
      </c>
    </row>
    <row r="226" spans="1:13" s="18" customFormat="1" ht="49.9" customHeight="1" x14ac:dyDescent="0.45">
      <c r="A226" s="2" t="s">
        <v>178</v>
      </c>
      <c r="B226" s="74"/>
      <c r="C226" s="75"/>
      <c r="D226" s="79">
        <v>2.5000000000000001E-2</v>
      </c>
      <c r="E226" s="81">
        <v>0.01</v>
      </c>
      <c r="F226" s="83" t="s">
        <v>26</v>
      </c>
      <c r="G226" s="81" t="str">
        <f>COUNTA(G228:G247) &amp; IF(COUNTA(G228:G247)=1, " bank: ", " banks: ") &amp; "                                 " &amp; IF(MIN(G228:G247)=MAX(G228:G247), MIN(G228:G247)*100 &amp; "%", MIN(G228:G247)*100 &amp; "%-" &amp; MAX(G228:G247)*100 &amp; "%")</f>
        <v>8 banks:                                  0.5%-2.5%</v>
      </c>
      <c r="H226" s="81" t="s">
        <v>524</v>
      </c>
      <c r="I226" s="81"/>
      <c r="J226" s="88" t="str">
        <f>IF(ISNUMBER(SEARCH("All", H226)), SUM(D228:E228) +H228, SUM(D228:E228))*100 &amp; "% - " &amp; MAX(J228:J247)*100 &amp; " %"</f>
        <v>3.5% - 6 %</v>
      </c>
      <c r="K226" s="86" t="s">
        <v>578</v>
      </c>
      <c r="L226" s="7"/>
      <c r="M226" s="29"/>
    </row>
    <row r="227" spans="1:13" s="18" customFormat="1" ht="30" customHeight="1" x14ac:dyDescent="0.45">
      <c r="A227" s="76" t="s">
        <v>179</v>
      </c>
      <c r="B227" s="77"/>
      <c r="C227" s="78"/>
      <c r="D227" s="80"/>
      <c r="E227" s="82"/>
      <c r="F227" s="84"/>
      <c r="G227" s="82"/>
      <c r="H227" s="82"/>
      <c r="I227" s="82"/>
      <c r="J227" s="89"/>
      <c r="K227" s="87"/>
      <c r="L227" s="7"/>
      <c r="M227" s="29"/>
    </row>
    <row r="228" spans="1:13" ht="28.5" customHeight="1" outlineLevel="1" x14ac:dyDescent="0.45">
      <c r="A228" s="19"/>
      <c r="B228" s="22" t="s">
        <v>180</v>
      </c>
      <c r="C228" s="22" t="s">
        <v>432</v>
      </c>
      <c r="D228" s="30">
        <v>2.5000000000000001E-2</v>
      </c>
      <c r="E228" s="33">
        <v>0.01</v>
      </c>
      <c r="F228" s="33" t="s">
        <v>26</v>
      </c>
      <c r="G228" s="37">
        <v>1.4999999999999999E-2</v>
      </c>
      <c r="H228" s="31">
        <v>0</v>
      </c>
      <c r="I228" s="31"/>
      <c r="J228" s="72">
        <f t="shared" ref="J228:J246" si="17">D228+E228+MAX(F228,G228)+H228</f>
        <v>0.05</v>
      </c>
      <c r="K228" s="21"/>
    </row>
    <row r="229" spans="1:13" ht="28.5" customHeight="1" outlineLevel="1" x14ac:dyDescent="0.45">
      <c r="A229" s="26"/>
      <c r="B229" s="24" t="s">
        <v>181</v>
      </c>
      <c r="C229" s="24" t="s">
        <v>433</v>
      </c>
      <c r="D229" s="30">
        <v>2.5000000000000001E-2</v>
      </c>
      <c r="E229" s="33">
        <v>0.01</v>
      </c>
      <c r="F229" s="34" t="s">
        <v>26</v>
      </c>
      <c r="G229" s="37">
        <v>2.5000000000000001E-2</v>
      </c>
      <c r="H229" s="31">
        <v>0</v>
      </c>
      <c r="I229" s="31"/>
      <c r="J229" s="32">
        <f t="shared" si="17"/>
        <v>6.0000000000000005E-2</v>
      </c>
      <c r="K229" s="21"/>
    </row>
    <row r="230" spans="1:13" ht="28.5" customHeight="1" outlineLevel="1" x14ac:dyDescent="0.45">
      <c r="A230" s="19"/>
      <c r="B230" s="22" t="s">
        <v>182</v>
      </c>
      <c r="C230" s="22" t="s">
        <v>434</v>
      </c>
      <c r="D230" s="30">
        <v>2.5000000000000001E-2</v>
      </c>
      <c r="E230" s="33">
        <v>0.01</v>
      </c>
      <c r="F230" s="33" t="s">
        <v>26</v>
      </c>
      <c r="G230" s="37">
        <v>1.4999999999999999E-2</v>
      </c>
      <c r="H230" s="31">
        <v>0</v>
      </c>
      <c r="I230" s="31"/>
      <c r="J230" s="32">
        <f t="shared" si="17"/>
        <v>0.05</v>
      </c>
      <c r="K230" s="21"/>
    </row>
    <row r="231" spans="1:13" ht="28.5" customHeight="1" outlineLevel="1" x14ac:dyDescent="0.45">
      <c r="A231" s="19"/>
      <c r="B231" s="22" t="s">
        <v>183</v>
      </c>
      <c r="C231" s="22" t="s">
        <v>435</v>
      </c>
      <c r="D231" s="30">
        <v>2.5000000000000001E-2</v>
      </c>
      <c r="E231" s="33">
        <v>0.01</v>
      </c>
      <c r="F231" s="33" t="s">
        <v>26</v>
      </c>
      <c r="G231" s="37">
        <v>0.01</v>
      </c>
      <c r="H231" s="31">
        <v>0.01</v>
      </c>
      <c r="I231" s="31"/>
      <c r="J231" s="32">
        <f t="shared" si="17"/>
        <v>5.5000000000000007E-2</v>
      </c>
      <c r="K231" s="21"/>
    </row>
    <row r="232" spans="1:13" ht="28.5" customHeight="1" outlineLevel="1" x14ac:dyDescent="0.45">
      <c r="A232" s="19"/>
      <c r="B232" s="22" t="s">
        <v>184</v>
      </c>
      <c r="C232" s="22" t="s">
        <v>436</v>
      </c>
      <c r="D232" s="30">
        <v>2.5000000000000001E-2</v>
      </c>
      <c r="E232" s="33">
        <v>0.01</v>
      </c>
      <c r="F232" s="33" t="s">
        <v>26</v>
      </c>
      <c r="G232" s="37"/>
      <c r="H232" s="31">
        <v>0</v>
      </c>
      <c r="I232" s="31"/>
      <c r="J232" s="32">
        <f t="shared" si="17"/>
        <v>3.5000000000000003E-2</v>
      </c>
      <c r="K232" s="21"/>
    </row>
    <row r="233" spans="1:13" ht="28.5" customHeight="1" outlineLevel="1" x14ac:dyDescent="0.45">
      <c r="A233" s="26"/>
      <c r="B233" s="24" t="s">
        <v>185</v>
      </c>
      <c r="C233" s="24" t="s">
        <v>437</v>
      </c>
      <c r="D233" s="30">
        <v>2.5000000000000001E-2</v>
      </c>
      <c r="E233" s="33">
        <v>0.01</v>
      </c>
      <c r="F233" s="34" t="s">
        <v>26</v>
      </c>
      <c r="G233" s="37">
        <v>0.01</v>
      </c>
      <c r="H233" s="31">
        <v>0</v>
      </c>
      <c r="I233" s="31"/>
      <c r="J233" s="32">
        <f t="shared" si="17"/>
        <v>4.5000000000000005E-2</v>
      </c>
      <c r="K233" s="21"/>
    </row>
    <row r="234" spans="1:13" ht="28.5" customHeight="1" outlineLevel="1" x14ac:dyDescent="0.45">
      <c r="A234" s="19"/>
      <c r="B234" s="22" t="s">
        <v>186</v>
      </c>
      <c r="C234" s="22" t="s">
        <v>438</v>
      </c>
      <c r="D234" s="30">
        <v>2.5000000000000001E-2</v>
      </c>
      <c r="E234" s="33">
        <v>0.01</v>
      </c>
      <c r="F234" s="33" t="s">
        <v>26</v>
      </c>
      <c r="G234" s="37">
        <v>1.4999999999999999E-2</v>
      </c>
      <c r="H234" s="31">
        <v>0</v>
      </c>
      <c r="I234" s="31"/>
      <c r="J234" s="32">
        <f t="shared" si="17"/>
        <v>0.05</v>
      </c>
      <c r="K234" s="21"/>
    </row>
    <row r="235" spans="1:13" ht="28.5" customHeight="1" outlineLevel="1" x14ac:dyDescent="0.45">
      <c r="A235" s="19"/>
      <c r="B235" s="22" t="s">
        <v>229</v>
      </c>
      <c r="C235" s="22" t="s">
        <v>439</v>
      </c>
      <c r="D235" s="30">
        <v>2.5000000000000001E-2</v>
      </c>
      <c r="E235" s="33">
        <v>0.01</v>
      </c>
      <c r="F235" s="33"/>
      <c r="G235" s="37"/>
      <c r="H235" s="31">
        <v>0.02</v>
      </c>
      <c r="I235" s="31"/>
      <c r="J235" s="32">
        <f t="shared" si="17"/>
        <v>5.5000000000000007E-2</v>
      </c>
      <c r="K235" s="21"/>
    </row>
    <row r="236" spans="1:13" ht="28.5" customHeight="1" outlineLevel="1" x14ac:dyDescent="0.45">
      <c r="A236" s="26"/>
      <c r="B236" s="24" t="s">
        <v>187</v>
      </c>
      <c r="C236" s="24" t="s">
        <v>440</v>
      </c>
      <c r="D236" s="30">
        <v>2.5000000000000001E-2</v>
      </c>
      <c r="E236" s="33">
        <v>0.01</v>
      </c>
      <c r="F236" s="34"/>
      <c r="G236" s="39"/>
      <c r="H236" s="70">
        <v>0</v>
      </c>
      <c r="I236" s="31"/>
      <c r="J236" s="32">
        <f t="shared" si="17"/>
        <v>3.5000000000000003E-2</v>
      </c>
      <c r="K236" s="21"/>
    </row>
    <row r="237" spans="1:13" ht="28.5" customHeight="1" outlineLevel="1" x14ac:dyDescent="0.45">
      <c r="A237" s="19"/>
      <c r="B237" s="22" t="s">
        <v>265</v>
      </c>
      <c r="C237" s="22" t="s">
        <v>441</v>
      </c>
      <c r="D237" s="30">
        <v>2.5000000000000001E-2</v>
      </c>
      <c r="E237" s="33">
        <v>0.01</v>
      </c>
      <c r="F237" s="33"/>
      <c r="G237" s="37">
        <v>5.0000000000000001E-3</v>
      </c>
      <c r="H237" s="31">
        <v>0.01</v>
      </c>
      <c r="I237" s="31"/>
      <c r="J237" s="32">
        <f t="shared" si="17"/>
        <v>0.05</v>
      </c>
      <c r="K237" s="21"/>
    </row>
    <row r="238" spans="1:13" ht="28.5" customHeight="1" outlineLevel="1" x14ac:dyDescent="0.45">
      <c r="A238" s="19"/>
      <c r="B238" s="22" t="s">
        <v>188</v>
      </c>
      <c r="C238" s="22" t="s">
        <v>442</v>
      </c>
      <c r="D238" s="30">
        <v>2.5000000000000001E-2</v>
      </c>
      <c r="E238" s="33">
        <v>0.01</v>
      </c>
      <c r="F238" s="33"/>
      <c r="G238" s="37"/>
      <c r="H238" s="31">
        <v>0</v>
      </c>
      <c r="I238" s="31"/>
      <c r="J238" s="32">
        <f t="shared" si="17"/>
        <v>3.5000000000000003E-2</v>
      </c>
      <c r="K238" s="21"/>
    </row>
    <row r="239" spans="1:13" ht="28.5" customHeight="1" outlineLevel="1" x14ac:dyDescent="0.45">
      <c r="A239" s="19"/>
      <c r="B239" s="22" t="s">
        <v>189</v>
      </c>
      <c r="C239" s="22" t="s">
        <v>443</v>
      </c>
      <c r="D239" s="30">
        <v>2.5000000000000001E-2</v>
      </c>
      <c r="E239" s="33">
        <v>0.01</v>
      </c>
      <c r="F239" s="33"/>
      <c r="G239" s="37"/>
      <c r="H239" s="31">
        <v>0</v>
      </c>
      <c r="I239" s="31"/>
      <c r="J239" s="32">
        <f t="shared" si="17"/>
        <v>3.5000000000000003E-2</v>
      </c>
      <c r="K239" s="21"/>
    </row>
    <row r="240" spans="1:13" ht="28.5" customHeight="1" outlineLevel="1" x14ac:dyDescent="0.45">
      <c r="A240" s="26"/>
      <c r="B240" s="24" t="s">
        <v>190</v>
      </c>
      <c r="C240" s="24" t="s">
        <v>444</v>
      </c>
      <c r="D240" s="30">
        <v>2.5000000000000001E-2</v>
      </c>
      <c r="E240" s="33">
        <v>0.01</v>
      </c>
      <c r="F240" s="34"/>
      <c r="G240" s="39"/>
      <c r="H240" s="31">
        <v>0.01</v>
      </c>
      <c r="I240" s="31"/>
      <c r="J240" s="32">
        <f t="shared" si="17"/>
        <v>4.5000000000000005E-2</v>
      </c>
      <c r="K240" s="21"/>
    </row>
    <row r="241" spans="1:13" ht="28.5" customHeight="1" outlineLevel="1" x14ac:dyDescent="0.45">
      <c r="A241" s="19"/>
      <c r="B241" s="22" t="s">
        <v>191</v>
      </c>
      <c r="C241" s="22" t="s">
        <v>445</v>
      </c>
      <c r="D241" s="30">
        <v>2.5000000000000001E-2</v>
      </c>
      <c r="E241" s="33">
        <v>0.01</v>
      </c>
      <c r="F241" s="33"/>
      <c r="G241" s="37"/>
      <c r="H241" s="31">
        <v>0.01</v>
      </c>
      <c r="I241" s="31"/>
      <c r="J241" s="32">
        <f t="shared" si="17"/>
        <v>4.5000000000000005E-2</v>
      </c>
      <c r="K241" s="21" t="s">
        <v>577</v>
      </c>
    </row>
    <row r="242" spans="1:13" ht="28.5" customHeight="1" outlineLevel="1" x14ac:dyDescent="0.45">
      <c r="A242" s="19"/>
      <c r="B242" s="22" t="s">
        <v>192</v>
      </c>
      <c r="C242" s="22" t="s">
        <v>446</v>
      </c>
      <c r="D242" s="30">
        <v>2.5000000000000001E-2</v>
      </c>
      <c r="E242" s="33">
        <v>0.01</v>
      </c>
      <c r="F242" s="33"/>
      <c r="G242" s="69">
        <v>5.0000000000000001E-3</v>
      </c>
      <c r="H242" s="70">
        <v>0.01</v>
      </c>
      <c r="I242" s="31"/>
      <c r="J242" s="32">
        <f t="shared" si="17"/>
        <v>0.05</v>
      </c>
      <c r="K242" s="21"/>
    </row>
    <row r="243" spans="1:13" ht="28.5" customHeight="1" outlineLevel="1" x14ac:dyDescent="0.45">
      <c r="A243" s="26"/>
      <c r="B243" s="24" t="s">
        <v>193</v>
      </c>
      <c r="C243" s="24" t="s">
        <v>447</v>
      </c>
      <c r="D243" s="30">
        <v>2.5000000000000001E-2</v>
      </c>
      <c r="E243" s="33">
        <v>0.01</v>
      </c>
      <c r="F243" s="34"/>
      <c r="G243" s="68"/>
      <c r="H243" s="70">
        <v>0</v>
      </c>
      <c r="I243" s="31"/>
      <c r="J243" s="32">
        <f t="shared" si="17"/>
        <v>3.5000000000000003E-2</v>
      </c>
      <c r="K243" s="21"/>
    </row>
    <row r="244" spans="1:13" ht="28.5" customHeight="1" outlineLevel="1" x14ac:dyDescent="0.45">
      <c r="A244" s="19"/>
      <c r="B244" s="22" t="s">
        <v>194</v>
      </c>
      <c r="C244" s="22" t="s">
        <v>448</v>
      </c>
      <c r="D244" s="30">
        <v>2.5000000000000001E-2</v>
      </c>
      <c r="E244" s="33">
        <v>0.01</v>
      </c>
      <c r="F244" s="33"/>
      <c r="G244" s="69"/>
      <c r="H244" s="70">
        <v>0</v>
      </c>
      <c r="I244" s="31"/>
      <c r="J244" s="32">
        <f t="shared" si="17"/>
        <v>3.5000000000000003E-2</v>
      </c>
      <c r="K244" s="21"/>
    </row>
    <row r="245" spans="1:13" ht="28.5" customHeight="1" outlineLevel="1" x14ac:dyDescent="0.45">
      <c r="A245" s="19"/>
      <c r="B245" s="22" t="s">
        <v>195</v>
      </c>
      <c r="C245" s="22" t="s">
        <v>449</v>
      </c>
      <c r="D245" s="30">
        <v>2.5000000000000001E-2</v>
      </c>
      <c r="E245" s="33">
        <v>0.01</v>
      </c>
      <c r="F245" s="33"/>
      <c r="G245" s="37"/>
      <c r="H245" s="31">
        <v>0</v>
      </c>
      <c r="I245" s="31"/>
      <c r="J245" s="32">
        <f t="shared" si="17"/>
        <v>3.5000000000000003E-2</v>
      </c>
      <c r="K245" s="21"/>
    </row>
    <row r="246" spans="1:13" ht="28.5" customHeight="1" outlineLevel="1" x14ac:dyDescent="0.45">
      <c r="A246" s="19"/>
      <c r="B246" s="22" t="s">
        <v>196</v>
      </c>
      <c r="C246" s="22" t="s">
        <v>450</v>
      </c>
      <c r="D246" s="30">
        <v>2.5000000000000001E-2</v>
      </c>
      <c r="E246" s="33">
        <v>0.01</v>
      </c>
      <c r="F246" s="33"/>
      <c r="G246" s="37"/>
      <c r="H246" s="31">
        <v>0.02</v>
      </c>
      <c r="I246" s="31"/>
      <c r="J246" s="32">
        <f t="shared" si="17"/>
        <v>5.5000000000000007E-2</v>
      </c>
      <c r="K246" s="21"/>
    </row>
    <row r="247" spans="1:13" ht="28.5" customHeight="1" outlineLevel="1" x14ac:dyDescent="0.45">
      <c r="A247" s="26"/>
      <c r="B247" s="24" t="s">
        <v>231</v>
      </c>
      <c r="C247" s="24" t="s">
        <v>451</v>
      </c>
      <c r="D247" s="30">
        <v>2.5000000000000001E-2</v>
      </c>
      <c r="E247" s="33">
        <v>0.01</v>
      </c>
      <c r="F247" s="34"/>
      <c r="G247" s="39"/>
      <c r="H247" s="31">
        <v>0</v>
      </c>
      <c r="I247" s="31"/>
      <c r="J247" s="32">
        <f>D247+E247+MAX(F247,G247)+H247</f>
        <v>3.5000000000000003E-2</v>
      </c>
      <c r="K247" s="21"/>
    </row>
    <row r="248" spans="1:13" s="18" customFormat="1" ht="30" customHeight="1" x14ac:dyDescent="0.45">
      <c r="A248" s="2" t="s">
        <v>197</v>
      </c>
      <c r="B248" s="74"/>
      <c r="C248" s="75"/>
      <c r="D248" s="79">
        <v>2.5000000000000001E-2</v>
      </c>
      <c r="E248" s="81">
        <v>1.4999999999999999E-2</v>
      </c>
      <c r="F248" s="83" t="s">
        <v>26</v>
      </c>
      <c r="G248" s="81" t="str">
        <f>COUNTA(G250:G254) &amp; IF(COUNTA(G250:G254)=1, " bank: ", " banks: ") &amp; "                                 " &amp; IF(MIN(G250:G254)=MAX(G250:G254), MIN(G250:G254)*100 &amp; "%", MIN(G250:G254)*100 &amp; "%-" &amp; MAX(G250:G254)*100 &amp; "%")</f>
        <v>5 banks:                                  0.25%-2%</v>
      </c>
      <c r="H248" s="81"/>
      <c r="I248" s="81"/>
      <c r="J248" s="88" t="str">
        <f>IF(ISNUMBER(SEARCH("All", H248)), SUM(D250:E250) + H250, SUM(D250:E250))*100 &amp; "% - " &amp; MAX(J250:J254)*100 &amp; " %"</f>
        <v>4% - 6 %</v>
      </c>
      <c r="K248" s="86"/>
      <c r="L248" s="7"/>
      <c r="M248" s="29"/>
    </row>
    <row r="249" spans="1:13" s="18" customFormat="1" ht="30" customHeight="1" collapsed="1" x14ac:dyDescent="0.45">
      <c r="A249" s="76" t="s">
        <v>198</v>
      </c>
      <c r="B249" s="77"/>
      <c r="C249" s="78"/>
      <c r="D249" s="80"/>
      <c r="E249" s="82"/>
      <c r="F249" s="84"/>
      <c r="G249" s="82"/>
      <c r="H249" s="82"/>
      <c r="I249" s="82"/>
      <c r="J249" s="89"/>
      <c r="K249" s="87"/>
      <c r="L249" s="7"/>
      <c r="M249" s="29"/>
    </row>
    <row r="250" spans="1:13" ht="28.5" hidden="1" customHeight="1" outlineLevel="1" x14ac:dyDescent="0.45">
      <c r="A250" s="19"/>
      <c r="B250" s="22" t="s">
        <v>244</v>
      </c>
      <c r="C250" s="22" t="s">
        <v>370</v>
      </c>
      <c r="D250" s="30">
        <v>2.5000000000000001E-2</v>
      </c>
      <c r="E250" s="33">
        <v>1.4999999999999999E-2</v>
      </c>
      <c r="F250" s="33"/>
      <c r="G250" s="39">
        <v>2.5000000000000001E-3</v>
      </c>
      <c r="H250" s="31"/>
      <c r="I250" s="31"/>
      <c r="J250" s="32">
        <f>D250+E250+MAX(F250,G250)+H250</f>
        <v>4.2500000000000003E-2</v>
      </c>
      <c r="K250" s="21"/>
    </row>
    <row r="251" spans="1:13" ht="28.5" hidden="1" customHeight="1" outlineLevel="1" x14ac:dyDescent="0.45">
      <c r="A251" s="19"/>
      <c r="B251" s="22" t="s">
        <v>199</v>
      </c>
      <c r="C251" s="22" t="s">
        <v>371</v>
      </c>
      <c r="D251" s="30">
        <v>2.5000000000000001E-2</v>
      </c>
      <c r="E251" s="33">
        <v>1.4999999999999999E-2</v>
      </c>
      <c r="F251" s="33"/>
      <c r="G251" s="37">
        <v>0.02</v>
      </c>
      <c r="H251" s="31"/>
      <c r="I251" s="31"/>
      <c r="J251" s="32">
        <f>D251+E251+MAX(F251,G251)+H251</f>
        <v>0.06</v>
      </c>
      <c r="K251" s="21"/>
    </row>
    <row r="252" spans="1:13" ht="28.5" hidden="1" customHeight="1" outlineLevel="1" x14ac:dyDescent="0.45">
      <c r="A252" s="26"/>
      <c r="B252" s="24" t="s">
        <v>200</v>
      </c>
      <c r="C252" s="24" t="s">
        <v>372</v>
      </c>
      <c r="D252" s="30">
        <v>2.5000000000000001E-2</v>
      </c>
      <c r="E252" s="33">
        <v>1.4999999999999999E-2</v>
      </c>
      <c r="F252" s="34" t="s">
        <v>14</v>
      </c>
      <c r="G252" s="37">
        <v>1.4999999999999999E-2</v>
      </c>
      <c r="H252" s="31"/>
      <c r="I252" s="31"/>
      <c r="J252" s="32">
        <f>D252+E252+MAX(F252,G252)+H252</f>
        <v>5.5E-2</v>
      </c>
      <c r="K252" s="21"/>
    </row>
    <row r="253" spans="1:13" ht="28.5" hidden="1" customHeight="1" outlineLevel="1" x14ac:dyDescent="0.45">
      <c r="A253" s="19"/>
      <c r="B253" s="22" t="s">
        <v>201</v>
      </c>
      <c r="C253" s="22" t="s">
        <v>373</v>
      </c>
      <c r="D253" s="30">
        <v>2.5000000000000001E-2</v>
      </c>
      <c r="E253" s="33">
        <v>1.4999999999999999E-2</v>
      </c>
      <c r="F253" s="33" t="s">
        <v>14</v>
      </c>
      <c r="G253" s="39">
        <v>1.7500000000000002E-2</v>
      </c>
      <c r="H253" s="31"/>
      <c r="I253" s="31"/>
      <c r="J253" s="32">
        <f>D253+E253+MAX(F253,G253)+H253</f>
        <v>5.7500000000000002E-2</v>
      </c>
      <c r="K253" s="21"/>
    </row>
    <row r="254" spans="1:13" ht="28.5" hidden="1" customHeight="1" outlineLevel="1" x14ac:dyDescent="0.45">
      <c r="A254" s="19"/>
      <c r="B254" s="22" t="s">
        <v>202</v>
      </c>
      <c r="C254" s="22" t="s">
        <v>374</v>
      </c>
      <c r="D254" s="30">
        <v>2.5000000000000001E-2</v>
      </c>
      <c r="E254" s="33">
        <v>1.4999999999999999E-2</v>
      </c>
      <c r="F254" s="33" t="s">
        <v>14</v>
      </c>
      <c r="G254" s="37">
        <v>0.01</v>
      </c>
      <c r="H254" s="31"/>
      <c r="I254" s="31"/>
      <c r="J254" s="32">
        <f>D254+E254+MAX(F254,G254)+H254</f>
        <v>0.05</v>
      </c>
      <c r="K254" s="21"/>
    </row>
    <row r="255" spans="1:13" s="18" customFormat="1" ht="30" customHeight="1" x14ac:dyDescent="0.45">
      <c r="A255" s="2" t="s">
        <v>203</v>
      </c>
      <c r="B255" s="74"/>
      <c r="C255" s="75"/>
      <c r="D255" s="79">
        <v>2.5000000000000001E-2</v>
      </c>
      <c r="E255" s="81">
        <v>0.01</v>
      </c>
      <c r="F255" s="83" t="s">
        <v>26</v>
      </c>
      <c r="G255" s="81" t="str">
        <f>COUNTA(G257:G261) &amp; IF(COUNTA(G257:G261)=1, " bank: ", " banks: ") &amp; "                                 " &amp; IF(MIN(G257:G261)=MAX(G257:G261), MIN(G257:G261)*100 &amp; "%", MIN(G257:G261)*100 &amp; "%-" &amp; MAX(G257:G261)*100 &amp; "%")</f>
        <v>5 banks:                                  0.25%-1.25%</v>
      </c>
      <c r="H255" s="81"/>
      <c r="I255" s="81" t="s">
        <v>520</v>
      </c>
      <c r="J255" s="88" t="str">
        <f>IF(ISNUMBER(SEARCH("All", H255)), SUM(D257:E257) + H257, SUM(D257:E257))*100 &amp; "% - " &amp; MAX(J257:J261)*100 &amp; " %"</f>
        <v>3.5% - 4.75 %</v>
      </c>
      <c r="K255" s="86" t="s">
        <v>539</v>
      </c>
      <c r="L255" s="7"/>
      <c r="M255" s="29"/>
    </row>
    <row r="256" spans="1:13" s="18" customFormat="1" ht="39.75" customHeight="1" collapsed="1" x14ac:dyDescent="0.45">
      <c r="A256" s="76" t="s">
        <v>204</v>
      </c>
      <c r="B256" s="77"/>
      <c r="C256" s="78"/>
      <c r="D256" s="80"/>
      <c r="E256" s="82"/>
      <c r="F256" s="84"/>
      <c r="G256" s="82"/>
      <c r="H256" s="82"/>
      <c r="I256" s="82"/>
      <c r="J256" s="89"/>
      <c r="K256" s="87"/>
      <c r="L256" s="7"/>
      <c r="M256" s="29"/>
    </row>
    <row r="257" spans="1:13" ht="28.5" hidden="1" customHeight="1" outlineLevel="1" x14ac:dyDescent="0.45">
      <c r="A257" s="19"/>
      <c r="B257" s="22" t="s">
        <v>508</v>
      </c>
      <c r="C257" s="22" t="s">
        <v>375</v>
      </c>
      <c r="D257" s="30">
        <v>2.5000000000000001E-2</v>
      </c>
      <c r="E257" s="33">
        <v>0.01</v>
      </c>
      <c r="F257" s="33"/>
      <c r="G257" s="39">
        <v>7.4999999999999997E-3</v>
      </c>
      <c r="H257" s="31"/>
      <c r="I257" s="31" t="s">
        <v>509</v>
      </c>
      <c r="J257" s="32">
        <f>D257+E257+MAX(F257,G257)+H257</f>
        <v>4.2500000000000003E-2</v>
      </c>
      <c r="K257" s="21" t="s">
        <v>512</v>
      </c>
    </row>
    <row r="258" spans="1:13" ht="28.5" hidden="1" customHeight="1" outlineLevel="1" x14ac:dyDescent="0.45">
      <c r="A258" s="19"/>
      <c r="B258" s="22" t="s">
        <v>205</v>
      </c>
      <c r="C258" s="22" t="s">
        <v>376</v>
      </c>
      <c r="D258" s="30">
        <v>2.5000000000000001E-2</v>
      </c>
      <c r="E258" s="33">
        <v>0.01</v>
      </c>
      <c r="F258" s="33" t="s">
        <v>14</v>
      </c>
      <c r="G258" s="39">
        <v>1.2500000000000001E-2</v>
      </c>
      <c r="H258" s="31"/>
      <c r="I258" s="31" t="s">
        <v>509</v>
      </c>
      <c r="J258" s="32">
        <f>D258+E258+MAX(F258,G258)+H258</f>
        <v>4.7500000000000001E-2</v>
      </c>
      <c r="K258" s="21"/>
    </row>
    <row r="259" spans="1:13" ht="28.5" hidden="1" customHeight="1" outlineLevel="1" x14ac:dyDescent="0.45">
      <c r="A259" s="26"/>
      <c r="B259" s="24" t="s">
        <v>206</v>
      </c>
      <c r="C259" s="24" t="s">
        <v>377</v>
      </c>
      <c r="D259" s="30">
        <v>2.5000000000000001E-2</v>
      </c>
      <c r="E259" s="33">
        <v>0.01</v>
      </c>
      <c r="F259" s="34" t="s">
        <v>14</v>
      </c>
      <c r="G259" s="37">
        <v>5.0000000000000001E-3</v>
      </c>
      <c r="H259" s="31"/>
      <c r="I259" s="31" t="s">
        <v>509</v>
      </c>
      <c r="J259" s="32">
        <f>D259+E259+MAX(F259,G259)+H259</f>
        <v>0.04</v>
      </c>
      <c r="K259" s="21"/>
    </row>
    <row r="260" spans="1:13" ht="28.5" hidden="1" customHeight="1" outlineLevel="1" x14ac:dyDescent="0.45">
      <c r="A260" s="19"/>
      <c r="B260" s="22" t="s">
        <v>207</v>
      </c>
      <c r="C260" s="22" t="s">
        <v>378</v>
      </c>
      <c r="D260" s="30">
        <v>2.5000000000000001E-2</v>
      </c>
      <c r="E260" s="33">
        <v>0.01</v>
      </c>
      <c r="F260" s="33"/>
      <c r="G260" s="39">
        <v>2.5000000000000001E-3</v>
      </c>
      <c r="H260" s="31"/>
      <c r="I260" s="31" t="s">
        <v>509</v>
      </c>
      <c r="J260" s="32">
        <f>D260+E260+MAX(F260,G260)+H260</f>
        <v>3.7500000000000006E-2</v>
      </c>
      <c r="K260" s="21"/>
    </row>
    <row r="261" spans="1:13" ht="28.5" hidden="1" customHeight="1" outlineLevel="1" x14ac:dyDescent="0.45">
      <c r="A261" s="19"/>
      <c r="B261" s="22" t="s">
        <v>208</v>
      </c>
      <c r="C261" s="22" t="s">
        <v>379</v>
      </c>
      <c r="D261" s="30">
        <v>2.5000000000000001E-2</v>
      </c>
      <c r="E261" s="33">
        <v>0.01</v>
      </c>
      <c r="F261" s="33" t="s">
        <v>14</v>
      </c>
      <c r="G261" s="39">
        <v>2.5000000000000001E-3</v>
      </c>
      <c r="H261" s="31"/>
      <c r="I261" s="31" t="s">
        <v>509</v>
      </c>
      <c r="J261" s="32">
        <f>D261+E261+MAX(F261,G261)+H261</f>
        <v>3.7500000000000006E-2</v>
      </c>
      <c r="K261" s="21"/>
    </row>
    <row r="262" spans="1:13" s="18" customFormat="1" ht="30" customHeight="1" x14ac:dyDescent="0.45">
      <c r="A262" s="2" t="s">
        <v>209</v>
      </c>
      <c r="B262" s="74"/>
      <c r="C262" s="75"/>
      <c r="D262" s="79">
        <v>2.5000000000000001E-2</v>
      </c>
      <c r="E262" s="81">
        <v>5.0000000000000001E-3</v>
      </c>
      <c r="F262" s="81" t="str">
        <f>COUNTA(F264:F267) &amp; IF(COUNTA(F264:F267)=1, " bank: ", " banks: ") &amp; "                                 " &amp; IF(MIN(F264:F267)=MAX(F264:F267), MIN(F264:F267)*100 &amp; "%", MIN(F264:F267)*100 &amp; "%-" &amp; MAX(F264:F267)*100 &amp; "%")</f>
        <v>1 bank:                                  1%</v>
      </c>
      <c r="G262" s="81" t="str">
        <f>COUNTA(G264:G267) &amp; IF(COUNTA(G264:G267)=1, " bank: ", " banks: ") &amp; "                                 " &amp; IF(MIN(G264:G267)=MAX(G264:G267), MIN(G264:G267)*100 &amp; "%", MIN(G264:G267)*100 &amp; "%-" &amp; MAX(G264:G267)*100 &amp; "%")</f>
        <v>4 banks:                                  0.25%-1.25%</v>
      </c>
      <c r="H262" s="81"/>
      <c r="I262" s="81" t="s">
        <v>26</v>
      </c>
      <c r="J262" s="88" t="str">
        <f>IF(ISNUMBER(SEARCH("All", H262)), SUM(D264:E264) + H264, SUM(D264:E264))*100 &amp; "% - " &amp; MAX(J264:J267)*100 &amp; " %"</f>
        <v>3% - 4.25 %</v>
      </c>
      <c r="K262" s="86" t="s">
        <v>565</v>
      </c>
      <c r="L262" s="7"/>
      <c r="M262" s="29"/>
    </row>
    <row r="263" spans="1:13" s="18" customFormat="1" ht="30" customHeight="1" collapsed="1" x14ac:dyDescent="0.45">
      <c r="A263" s="76" t="s">
        <v>210</v>
      </c>
      <c r="B263" s="77"/>
      <c r="C263" s="78"/>
      <c r="D263" s="80"/>
      <c r="E263" s="82"/>
      <c r="F263" s="82"/>
      <c r="G263" s="82"/>
      <c r="H263" s="82"/>
      <c r="I263" s="82"/>
      <c r="J263" s="89"/>
      <c r="K263" s="87"/>
      <c r="L263" s="7"/>
      <c r="M263" s="29"/>
    </row>
    <row r="264" spans="1:13" ht="28.5" hidden="1" customHeight="1" outlineLevel="1" x14ac:dyDescent="0.45">
      <c r="A264" s="19"/>
      <c r="B264" s="22" t="s">
        <v>211</v>
      </c>
      <c r="C264" s="22" t="s">
        <v>380</v>
      </c>
      <c r="D264" s="30">
        <v>2.5000000000000001E-2</v>
      </c>
      <c r="E264" s="33">
        <v>5.0000000000000001E-3</v>
      </c>
      <c r="F264" s="33"/>
      <c r="G264" s="37">
        <v>0.01</v>
      </c>
      <c r="H264" s="31"/>
      <c r="I264" s="31"/>
      <c r="J264" s="32">
        <f>D264+E264+MAX(F264,G264)+H264</f>
        <v>0.04</v>
      </c>
      <c r="K264" s="21" t="s">
        <v>587</v>
      </c>
    </row>
    <row r="265" spans="1:13" ht="28.5" hidden="1" customHeight="1" outlineLevel="1" x14ac:dyDescent="0.45">
      <c r="A265" s="19"/>
      <c r="B265" s="22" t="s">
        <v>212</v>
      </c>
      <c r="C265" s="22" t="s">
        <v>381</v>
      </c>
      <c r="D265" s="30">
        <v>2.5000000000000001E-2</v>
      </c>
      <c r="E265" s="33">
        <v>5.0000000000000001E-3</v>
      </c>
      <c r="F265" s="33"/>
      <c r="G265" s="39">
        <v>2.5000000000000001E-3</v>
      </c>
      <c r="H265" s="31"/>
      <c r="I265" s="31"/>
      <c r="J265" s="32">
        <f>D265+E265+MAX(F265,G265)+H265</f>
        <v>3.2500000000000001E-2</v>
      </c>
      <c r="K265" s="21"/>
    </row>
    <row r="266" spans="1:13" ht="28.5" hidden="1" customHeight="1" outlineLevel="1" x14ac:dyDescent="0.45">
      <c r="A266" s="26"/>
      <c r="B266" s="24" t="s">
        <v>213</v>
      </c>
      <c r="C266" s="24" t="s">
        <v>382</v>
      </c>
      <c r="D266" s="30">
        <v>2.5000000000000001E-2</v>
      </c>
      <c r="E266" s="33">
        <v>5.0000000000000001E-3</v>
      </c>
      <c r="F266" s="34">
        <v>0.01</v>
      </c>
      <c r="G266" s="39">
        <v>1.2500000000000001E-2</v>
      </c>
      <c r="H266" s="31"/>
      <c r="I266" s="31"/>
      <c r="J266" s="32">
        <f>D266+E266+MAX(F266,G266)+H266</f>
        <v>4.2500000000000003E-2</v>
      </c>
      <c r="K266" s="21"/>
    </row>
    <row r="267" spans="1:13" ht="28.5" hidden="1" customHeight="1" outlineLevel="1" x14ac:dyDescent="0.45">
      <c r="A267" s="23"/>
      <c r="B267" s="24" t="s">
        <v>242</v>
      </c>
      <c r="C267" s="24" t="s">
        <v>383</v>
      </c>
      <c r="D267" s="35">
        <v>2.5000000000000001E-2</v>
      </c>
      <c r="E267" s="34">
        <v>5.0000000000000001E-3</v>
      </c>
      <c r="F267" s="34"/>
      <c r="G267" s="41">
        <v>5.0000000000000001E-3</v>
      </c>
      <c r="H267" s="36"/>
      <c r="I267" s="36"/>
      <c r="J267" s="42">
        <f>D267+E267+MAX(F267,G267)+H267</f>
        <v>3.5000000000000003E-2</v>
      </c>
      <c r="K267" s="40"/>
    </row>
    <row r="268" spans="1:13" s="18" customFormat="1" ht="30" customHeight="1" x14ac:dyDescent="0.45">
      <c r="A268" s="2" t="s">
        <v>214</v>
      </c>
      <c r="B268" s="74"/>
      <c r="C268" s="75"/>
      <c r="D268" s="79">
        <v>2.5000000000000001E-2</v>
      </c>
      <c r="E268" s="168">
        <v>0.02</v>
      </c>
      <c r="F268" s="83"/>
      <c r="G268" s="81" t="str">
        <f>COUNTA(G270:G273) &amp; IF(COUNTA(G270:G273)=1, " bank: ", " banks: ") &amp; "                                 " &amp; IF(MIN(G270:G273)=MAX(G270:G273), MIN(G270:G273)*100 &amp; "%", MIN(G270:G273)*100 &amp; "%-" &amp; MAX(G270:G273)*100 &amp; "%")</f>
        <v>4 banks:                                  1%</v>
      </c>
      <c r="H268" s="81" t="s">
        <v>215</v>
      </c>
      <c r="I268" s="81"/>
      <c r="J268" s="88" t="str">
        <f>IF(ISNUMBER(SEARCH("All", H268)), SUM(D270:E270) + H270, SUM(D270:E270))*100 &amp; "% - " &amp; MAX(J270:J273)*100 &amp; " %"</f>
        <v>4.5% - 8.5 %</v>
      </c>
      <c r="K268" s="86"/>
      <c r="L268" s="7"/>
      <c r="M268" s="29"/>
    </row>
    <row r="269" spans="1:13" s="18" customFormat="1" ht="30" customHeight="1" collapsed="1" x14ac:dyDescent="0.45">
      <c r="A269" s="76" t="s">
        <v>216</v>
      </c>
      <c r="B269" s="77"/>
      <c r="C269" s="78"/>
      <c r="D269" s="80"/>
      <c r="E269" s="169"/>
      <c r="F269" s="84"/>
      <c r="G269" s="82"/>
      <c r="H269" s="82"/>
      <c r="I269" s="82"/>
      <c r="J269" s="89"/>
      <c r="K269" s="87"/>
      <c r="L269" s="7"/>
      <c r="M269" s="29"/>
    </row>
    <row r="270" spans="1:13" ht="28.5" hidden="1" customHeight="1" outlineLevel="1" x14ac:dyDescent="0.45">
      <c r="A270" s="19"/>
      <c r="B270" s="22" t="s">
        <v>226</v>
      </c>
      <c r="C270" s="22" t="s">
        <v>452</v>
      </c>
      <c r="D270" s="30">
        <v>2.5000000000000001E-2</v>
      </c>
      <c r="E270" s="33">
        <v>0.02</v>
      </c>
      <c r="F270" s="33"/>
      <c r="G270" s="37">
        <v>0.01</v>
      </c>
      <c r="H270" s="31"/>
      <c r="I270" s="31"/>
      <c r="J270" s="32">
        <f>D270+E270+MAX(F270,G270)+H270</f>
        <v>5.5E-2</v>
      </c>
      <c r="K270" s="21"/>
    </row>
    <row r="271" spans="1:13" ht="28.5" hidden="1" customHeight="1" outlineLevel="1" x14ac:dyDescent="0.45">
      <c r="A271" s="19"/>
      <c r="B271" s="22" t="s">
        <v>217</v>
      </c>
      <c r="C271" s="22" t="s">
        <v>453</v>
      </c>
      <c r="D271" s="30">
        <v>2.5000000000000001E-2</v>
      </c>
      <c r="E271" s="33">
        <v>0.02</v>
      </c>
      <c r="F271" s="33" t="s">
        <v>26</v>
      </c>
      <c r="G271" s="37">
        <v>0.01</v>
      </c>
      <c r="H271" s="31">
        <v>0.03</v>
      </c>
      <c r="I271" s="31"/>
      <c r="J271" s="32">
        <f>D271+E271+MAX(F271,G271)+H271</f>
        <v>8.4999999999999992E-2</v>
      </c>
      <c r="K271" s="21"/>
    </row>
    <row r="272" spans="1:13" ht="28.5" hidden="1" customHeight="1" outlineLevel="1" x14ac:dyDescent="0.45">
      <c r="A272" s="26"/>
      <c r="B272" s="24" t="s">
        <v>218</v>
      </c>
      <c r="C272" s="24" t="s">
        <v>454</v>
      </c>
      <c r="D272" s="30">
        <v>2.5000000000000001E-2</v>
      </c>
      <c r="E272" s="33">
        <v>0.02</v>
      </c>
      <c r="F272" s="34" t="s">
        <v>26</v>
      </c>
      <c r="G272" s="37">
        <v>0.01</v>
      </c>
      <c r="H272" s="31">
        <v>0.03</v>
      </c>
      <c r="I272" s="31"/>
      <c r="J272" s="32">
        <f>D272+E272+MAX(F272,G272)+H272</f>
        <v>8.4999999999999992E-2</v>
      </c>
      <c r="K272" s="21"/>
    </row>
    <row r="273" spans="1:11" ht="28.5" hidden="1" customHeight="1" outlineLevel="1" x14ac:dyDescent="0.45">
      <c r="A273" s="19"/>
      <c r="B273" s="22" t="s">
        <v>135</v>
      </c>
      <c r="C273" s="22" t="s">
        <v>455</v>
      </c>
      <c r="D273" s="30">
        <v>2.5000000000000001E-2</v>
      </c>
      <c r="E273" s="33">
        <v>0.02</v>
      </c>
      <c r="F273" s="33" t="s">
        <v>26</v>
      </c>
      <c r="G273" s="37">
        <v>0.01</v>
      </c>
      <c r="H273" s="31">
        <v>0.03</v>
      </c>
      <c r="I273" s="31"/>
      <c r="J273" s="32">
        <f>D273+E273+MAX(F273,G273)+H273</f>
        <v>8.4999999999999992E-2</v>
      </c>
      <c r="K273" s="21"/>
    </row>
    <row r="274" spans="1:11" x14ac:dyDescent="0.45">
      <c r="A274" s="170" t="s">
        <v>219</v>
      </c>
      <c r="B274" s="171"/>
      <c r="C274" s="171"/>
      <c r="D274" s="171"/>
      <c r="E274" s="171"/>
      <c r="F274" s="171"/>
      <c r="G274" s="171"/>
      <c r="H274" s="171"/>
      <c r="I274" s="171"/>
      <c r="J274" s="171"/>
      <c r="K274" s="172"/>
    </row>
    <row r="275" spans="1:11" x14ac:dyDescent="0.45">
      <c r="B275" s="165" t="s">
        <v>534</v>
      </c>
      <c r="C275" s="166"/>
      <c r="D275" s="166"/>
      <c r="E275" s="166"/>
      <c r="F275" s="166"/>
      <c r="G275" s="166"/>
      <c r="H275" s="166"/>
      <c r="I275" s="166"/>
      <c r="J275" s="166"/>
    </row>
    <row r="276" spans="1:11" ht="312.75" customHeight="1" x14ac:dyDescent="0.45">
      <c r="B276" s="167"/>
      <c r="C276" s="167"/>
      <c r="D276" s="167"/>
      <c r="E276" s="167"/>
      <c r="F276" s="167"/>
      <c r="G276" s="167"/>
      <c r="H276" s="167"/>
      <c r="I276" s="167"/>
      <c r="J276" s="167"/>
    </row>
  </sheetData>
  <mergeCells count="315">
    <mergeCell ref="A36:C36"/>
    <mergeCell ref="I91:I93"/>
    <mergeCell ref="A86:C86"/>
    <mergeCell ref="A87:C87"/>
    <mergeCell ref="A91:C91"/>
    <mergeCell ref="A92:C92"/>
    <mergeCell ref="A53:C53"/>
    <mergeCell ref="A54:C54"/>
    <mergeCell ref="D53:D54"/>
    <mergeCell ref="E53:E54"/>
    <mergeCell ref="A44:C44"/>
    <mergeCell ref="A45:C45"/>
    <mergeCell ref="A93:C93"/>
    <mergeCell ref="A58:C58"/>
    <mergeCell ref="A59:C59"/>
    <mergeCell ref="D78:D79"/>
    <mergeCell ref="E78:E79"/>
    <mergeCell ref="F78:F79"/>
    <mergeCell ref="G78:G79"/>
    <mergeCell ref="I78:I79"/>
    <mergeCell ref="D67:D68"/>
    <mergeCell ref="E67:E68"/>
    <mergeCell ref="F67:F68"/>
    <mergeCell ref="G67:G68"/>
    <mergeCell ref="B275:J276"/>
    <mergeCell ref="K262:K263"/>
    <mergeCell ref="D268:D269"/>
    <mergeCell ref="E268:E269"/>
    <mergeCell ref="F268:F269"/>
    <mergeCell ref="G268:G269"/>
    <mergeCell ref="H268:H269"/>
    <mergeCell ref="J268:J269"/>
    <mergeCell ref="K268:K269"/>
    <mergeCell ref="D262:D263"/>
    <mergeCell ref="E262:E263"/>
    <mergeCell ref="F262:F263"/>
    <mergeCell ref="G262:G263"/>
    <mergeCell ref="I262:I263"/>
    <mergeCell ref="J262:J263"/>
    <mergeCell ref="A274:K274"/>
    <mergeCell ref="A262:C262"/>
    <mergeCell ref="A263:C263"/>
    <mergeCell ref="A268:C268"/>
    <mergeCell ref="A269:C269"/>
    <mergeCell ref="I268:I269"/>
    <mergeCell ref="H262:H263"/>
    <mergeCell ref="K144:K145"/>
    <mergeCell ref="D144:D145"/>
    <mergeCell ref="E144:E145"/>
    <mergeCell ref="F144:F145"/>
    <mergeCell ref="G144:G145"/>
    <mergeCell ref="I144:I145"/>
    <mergeCell ref="D226:D227"/>
    <mergeCell ref="E226:E227"/>
    <mergeCell ref="F226:F227"/>
    <mergeCell ref="G226:G227"/>
    <mergeCell ref="I226:I227"/>
    <mergeCell ref="J226:J227"/>
    <mergeCell ref="K226:K227"/>
    <mergeCell ref="D217:D218"/>
    <mergeCell ref="E217:E218"/>
    <mergeCell ref="F217:F218"/>
    <mergeCell ref="J217:J218"/>
    <mergeCell ref="H226:H227"/>
    <mergeCell ref="K204:K206"/>
    <mergeCell ref="K217:K218"/>
    <mergeCell ref="K191:K192"/>
    <mergeCell ref="K198:K199"/>
    <mergeCell ref="D191:D192"/>
    <mergeCell ref="E191:E192"/>
    <mergeCell ref="J144:J145"/>
    <mergeCell ref="F255:F256"/>
    <mergeCell ref="G204:G206"/>
    <mergeCell ref="I204:I206"/>
    <mergeCell ref="G217:G218"/>
    <mergeCell ref="I217:I218"/>
    <mergeCell ref="J204:J206"/>
    <mergeCell ref="G255:G256"/>
    <mergeCell ref="I255:I256"/>
    <mergeCell ref="J255:J256"/>
    <mergeCell ref="F198:F199"/>
    <mergeCell ref="G198:G199"/>
    <mergeCell ref="I198:I199"/>
    <mergeCell ref="J198:J199"/>
    <mergeCell ref="I191:I192"/>
    <mergeCell ref="J191:J192"/>
    <mergeCell ref="H198:H199"/>
    <mergeCell ref="H191:H192"/>
    <mergeCell ref="H204:H206"/>
    <mergeCell ref="A218:C218"/>
    <mergeCell ref="A206:C206"/>
    <mergeCell ref="H217:H218"/>
    <mergeCell ref="A204:C204"/>
    <mergeCell ref="A205:C205"/>
    <mergeCell ref="A249:C249"/>
    <mergeCell ref="A255:C255"/>
    <mergeCell ref="A256:C256"/>
    <mergeCell ref="A226:C226"/>
    <mergeCell ref="A227:C227"/>
    <mergeCell ref="A248:C248"/>
    <mergeCell ref="D248:D249"/>
    <mergeCell ref="E248:E249"/>
    <mergeCell ref="F248:F249"/>
    <mergeCell ref="G248:G249"/>
    <mergeCell ref="D255:D256"/>
    <mergeCell ref="E255:E256"/>
    <mergeCell ref="H248:H249"/>
    <mergeCell ref="H255:H256"/>
    <mergeCell ref="D204:D206"/>
    <mergeCell ref="E204:E206"/>
    <mergeCell ref="F204:F206"/>
    <mergeCell ref="A217:C217"/>
    <mergeCell ref="K255:K256"/>
    <mergeCell ref="I248:I249"/>
    <mergeCell ref="J248:J249"/>
    <mergeCell ref="K248:K249"/>
    <mergeCell ref="D198:D199"/>
    <mergeCell ref="E198:E199"/>
    <mergeCell ref="K177:K178"/>
    <mergeCell ref="D185:D186"/>
    <mergeCell ref="E185:E186"/>
    <mergeCell ref="F185:F186"/>
    <mergeCell ref="G185:G186"/>
    <mergeCell ref="I185:I186"/>
    <mergeCell ref="J185:J186"/>
    <mergeCell ref="K185:K186"/>
    <mergeCell ref="D177:D178"/>
    <mergeCell ref="E177:E178"/>
    <mergeCell ref="F177:F178"/>
    <mergeCell ref="G177:G178"/>
    <mergeCell ref="I177:I178"/>
    <mergeCell ref="J177:J178"/>
    <mergeCell ref="H177:H178"/>
    <mergeCell ref="H185:H186"/>
    <mergeCell ref="K166:K167"/>
    <mergeCell ref="D171:D172"/>
    <mergeCell ref="E171:E172"/>
    <mergeCell ref="F171:F172"/>
    <mergeCell ref="G171:G172"/>
    <mergeCell ref="I171:I172"/>
    <mergeCell ref="J171:J172"/>
    <mergeCell ref="K171:K172"/>
    <mergeCell ref="D166:D167"/>
    <mergeCell ref="E166:E167"/>
    <mergeCell ref="F166:F167"/>
    <mergeCell ref="G166:G167"/>
    <mergeCell ref="I166:I167"/>
    <mergeCell ref="J166:J167"/>
    <mergeCell ref="H166:H167"/>
    <mergeCell ref="H171:H172"/>
    <mergeCell ref="K152:K153"/>
    <mergeCell ref="D161:D162"/>
    <mergeCell ref="E161:E162"/>
    <mergeCell ref="F161:F162"/>
    <mergeCell ref="G161:G162"/>
    <mergeCell ref="I161:I162"/>
    <mergeCell ref="J161:J162"/>
    <mergeCell ref="K161:K162"/>
    <mergeCell ref="D152:D153"/>
    <mergeCell ref="E152:E153"/>
    <mergeCell ref="F152:F153"/>
    <mergeCell ref="G152:G153"/>
    <mergeCell ref="I152:I153"/>
    <mergeCell ref="J152:J153"/>
    <mergeCell ref="H161:H162"/>
    <mergeCell ref="J78:J79"/>
    <mergeCell ref="K78:K79"/>
    <mergeCell ref="K133:K134"/>
    <mergeCell ref="D133:D134"/>
    <mergeCell ref="E133:E134"/>
    <mergeCell ref="F133:F134"/>
    <mergeCell ref="G133:G134"/>
    <mergeCell ref="H133:H134"/>
    <mergeCell ref="J133:J134"/>
    <mergeCell ref="K118:K119"/>
    <mergeCell ref="D124:D125"/>
    <mergeCell ref="E124:E125"/>
    <mergeCell ref="F124:F125"/>
    <mergeCell ref="G124:G125"/>
    <mergeCell ref="I124:I125"/>
    <mergeCell ref="J124:J125"/>
    <mergeCell ref="K124:K125"/>
    <mergeCell ref="D118:D119"/>
    <mergeCell ref="E118:E119"/>
    <mergeCell ref="F118:F119"/>
    <mergeCell ref="J118:J119"/>
    <mergeCell ref="H124:H125"/>
    <mergeCell ref="I133:I134"/>
    <mergeCell ref="G118:G119"/>
    <mergeCell ref="J101:J102"/>
    <mergeCell ref="K101:K102"/>
    <mergeCell ref="K86:K87"/>
    <mergeCell ref="D91:D93"/>
    <mergeCell ref="E91:E93"/>
    <mergeCell ref="J91:J93"/>
    <mergeCell ref="K91:K93"/>
    <mergeCell ref="D86:D87"/>
    <mergeCell ref="H86:H87"/>
    <mergeCell ref="J86:J87"/>
    <mergeCell ref="I86:I87"/>
    <mergeCell ref="H91:H93"/>
    <mergeCell ref="F91:F93"/>
    <mergeCell ref="G91:G93"/>
    <mergeCell ref="I101:I102"/>
    <mergeCell ref="H101:H102"/>
    <mergeCell ref="K5:K7"/>
    <mergeCell ref="D8:D9"/>
    <mergeCell ref="E8:E9"/>
    <mergeCell ref="F8:F9"/>
    <mergeCell ref="G8:G9"/>
    <mergeCell ref="I8:I9"/>
    <mergeCell ref="J8:J9"/>
    <mergeCell ref="K8:K9"/>
    <mergeCell ref="K25:K26"/>
    <mergeCell ref="H5:I6"/>
    <mergeCell ref="H7:I7"/>
    <mergeCell ref="H25:H26"/>
    <mergeCell ref="H8:H9"/>
    <mergeCell ref="A4:J4"/>
    <mergeCell ref="D5:D6"/>
    <mergeCell ref="E5:E6"/>
    <mergeCell ref="J5:J7"/>
    <mergeCell ref="D25:D26"/>
    <mergeCell ref="E25:E26"/>
    <mergeCell ref="F25:F26"/>
    <mergeCell ref="G25:G26"/>
    <mergeCell ref="I25:I26"/>
    <mergeCell ref="J25:J26"/>
    <mergeCell ref="F5:G5"/>
    <mergeCell ref="A8:C8"/>
    <mergeCell ref="A9:C9"/>
    <mergeCell ref="A5:C6"/>
    <mergeCell ref="A25:C25"/>
    <mergeCell ref="A26:C26"/>
    <mergeCell ref="A199:C199"/>
    <mergeCell ref="H53:H54"/>
    <mergeCell ref="H67:H68"/>
    <mergeCell ref="H78:H79"/>
    <mergeCell ref="A153:C153"/>
    <mergeCell ref="A118:C118"/>
    <mergeCell ref="A119:C119"/>
    <mergeCell ref="A124:C124"/>
    <mergeCell ref="A125:C125"/>
    <mergeCell ref="A133:C133"/>
    <mergeCell ref="A134:C134"/>
    <mergeCell ref="A152:C152"/>
    <mergeCell ref="A161:C161"/>
    <mergeCell ref="A162:C162"/>
    <mergeCell ref="A166:C166"/>
    <mergeCell ref="A167:C167"/>
    <mergeCell ref="A171:C171"/>
    <mergeCell ref="A172:C172"/>
    <mergeCell ref="D58:D59"/>
    <mergeCell ref="E58:E59"/>
    <mergeCell ref="F58:F59"/>
    <mergeCell ref="G58:G59"/>
    <mergeCell ref="A101:C101"/>
    <mergeCell ref="A102:C102"/>
    <mergeCell ref="K67:K68"/>
    <mergeCell ref="J67:J68"/>
    <mergeCell ref="H58:H59"/>
    <mergeCell ref="J36:J37"/>
    <mergeCell ref="K36:K37"/>
    <mergeCell ref="D44:D45"/>
    <mergeCell ref="E44:E45"/>
    <mergeCell ref="G44:G45"/>
    <mergeCell ref="I44:I45"/>
    <mergeCell ref="I58:I59"/>
    <mergeCell ref="J58:J59"/>
    <mergeCell ref="K58:K59"/>
    <mergeCell ref="G36:G37"/>
    <mergeCell ref="I36:I37"/>
    <mergeCell ref="H36:H37"/>
    <mergeCell ref="K44:K45"/>
    <mergeCell ref="I53:I54"/>
    <mergeCell ref="J53:J54"/>
    <mergeCell ref="D36:D37"/>
    <mergeCell ref="E36:E37"/>
    <mergeCell ref="F36:F37"/>
    <mergeCell ref="K53:K54"/>
    <mergeCell ref="J44:J45"/>
    <mergeCell ref="H118:H119"/>
    <mergeCell ref="A37:C37"/>
    <mergeCell ref="A145:C145"/>
    <mergeCell ref="A144:C144"/>
    <mergeCell ref="H144:H145"/>
    <mergeCell ref="H152:H153"/>
    <mergeCell ref="I67:I68"/>
    <mergeCell ref="F53:F54"/>
    <mergeCell ref="G53:G54"/>
    <mergeCell ref="I118:I119"/>
    <mergeCell ref="A1:E1"/>
    <mergeCell ref="A2:D2"/>
    <mergeCell ref="A198:C198"/>
    <mergeCell ref="A192:C192"/>
    <mergeCell ref="D101:D102"/>
    <mergeCell ref="E101:E102"/>
    <mergeCell ref="F101:F102"/>
    <mergeCell ref="G101:G102"/>
    <mergeCell ref="H44:H45"/>
    <mergeCell ref="E86:E87"/>
    <mergeCell ref="F86:F87"/>
    <mergeCell ref="G86:G87"/>
    <mergeCell ref="A67:C67"/>
    <mergeCell ref="F191:F192"/>
    <mergeCell ref="G191:G192"/>
    <mergeCell ref="A177:C177"/>
    <mergeCell ref="A178:C178"/>
    <mergeCell ref="A185:C185"/>
    <mergeCell ref="A186:C186"/>
    <mergeCell ref="A191:C191"/>
    <mergeCell ref="F44:F45"/>
    <mergeCell ref="A68:C68"/>
    <mergeCell ref="A78:C78"/>
    <mergeCell ref="A79:C79"/>
  </mergeCells>
  <phoneticPr fontId="35" type="noConversion"/>
  <hyperlinks>
    <hyperlink ref="G58" r:id="rId1" display="http://www.cnb.cz/en/financial_stability/macroprudential_policy/list_other_systemically_important_institutions/index.html" xr:uid="{00000000-0004-0000-0000-000000000000}"/>
    <hyperlink ref="H268" r:id="rId2" display="https://www.esrb.europa.eu/pub/pdf/other/141106_Notification_EBA_Article_133.11.pdf?5488a5adadd4ed5d2602010ba926d472" xr:uid="{00000000-0004-0000-0000-000002000000}"/>
    <hyperlink ref="G268" r:id="rId3" display="http://www.fi.se/Folder-EN/Startpage/Supervision/Miscellaneous/Listan/Swedish-banks-systemic-importance-O-SII-/" xr:uid="{00000000-0004-0000-0000-000003000000}"/>
    <hyperlink ref="A125:B125" r:id="rId4" display="Magyar Nemzeti Bank" xr:uid="{00000000-0004-0000-0000-000004000000}"/>
    <hyperlink ref="A269:B269" r:id="rId5" display="Finansinspektionen" xr:uid="{00000000-0004-0000-0000-000005000000}"/>
    <hyperlink ref="G268:G269" r:id="rId6" display="https://www.fi.se/sv/publicerat/sarskilda-pm-beslut/2020/fi-har-fattat-beslut-om-kapitalbuffertar-for-storbankerna/" xr:uid="{00000000-0004-0000-0000-000006000000}"/>
    <hyperlink ref="H268:H269" r:id="rId7" display="https://www.fi.se/sv/publicerat/sarskilda-pm-beslut/2020/fi-har-fattat-beslut-om-kapitalbuffertar-for-storbankerna/" xr:uid="{00000000-0004-0000-0000-00000D000000}"/>
    <hyperlink ref="A68:B68" r:id="rId8" display="Minister for Industry, Business and Financial Affairs" xr:uid="{00000000-0004-0000-0000-00000E000000}"/>
    <hyperlink ref="A167:B167" r:id="rId9" display="Financial Market Authority" xr:uid="{00000000-0004-0000-0000-00000F000000}"/>
    <hyperlink ref="D58:D59" r:id="rId10" display="https://www.cnb.cz/en/financial-stability/macroprudential-policy/the-capital-conservation-buffer/" xr:uid="{00000000-0004-0000-0000-000010000000}"/>
    <hyperlink ref="D152" r:id="rId11" display="1.25%" xr:uid="{00000000-0004-0000-0000-000016000000}"/>
    <hyperlink ref="E152" r:id="rId12" display="0%" xr:uid="{00000000-0004-0000-0000-000017000000}"/>
    <hyperlink ref="A153:B153" r:id="rId13" display="Banca d'Italia" xr:uid="{00000000-0004-0000-0000-000019000000}"/>
    <hyperlink ref="D161" r:id="rId14" display="2.5%" xr:uid="{00000000-0004-0000-0000-00001A000000}"/>
    <hyperlink ref="A162:B162" r:id="rId15" display="Financial and Capital Market Commission" xr:uid="{00000000-0004-0000-0000-00001D000000}"/>
    <hyperlink ref="D171" r:id="rId16" display="2.5%" xr:uid="{00000000-0004-0000-0000-000020000000}"/>
    <hyperlink ref="E171" r:id="rId17" display="0%" xr:uid="{00000000-0004-0000-0000-000021000000}"/>
    <hyperlink ref="A172:B172" r:id="rId18" display="Lietuvos bankas" xr:uid="{00000000-0004-0000-0000-000022000000}"/>
    <hyperlink ref="D171:D172" r:id="rId19" display="2.5%" xr:uid="{00000000-0004-0000-0000-000023000000}"/>
    <hyperlink ref="E171:E172" r:id="rId20" display="https://www.lb.lt/uploads/documents/files/musu-veikla/Finansinis-stabilumas/Resolution 03-145_EN.pdf" xr:uid="{00000000-0004-0000-0000-000024000000}"/>
    <hyperlink ref="D177" r:id="rId21" display="2.5%" xr:uid="{00000000-0004-0000-0000-000025000000}"/>
    <hyperlink ref="E177" r:id="rId22" location="c7489" display="0%" xr:uid="{00000000-0004-0000-0000-000026000000}"/>
    <hyperlink ref="A178:B178" r:id="rId23" display="Commission de Surveillance du Secteur Financier" xr:uid="{00000000-0004-0000-0000-000028000000}"/>
    <hyperlink ref="E177:E178" r:id="rId24" location="countercyclical-capital-buffer-ccyb" display="https://www.cssf.lu/en/macroprudential-supervision/ - countercyclical-capital-buffer-ccyb" xr:uid="{00000000-0004-0000-0000-000029000000}"/>
    <hyperlink ref="D185" r:id="rId25" display="1.25%" xr:uid="{00000000-0004-0000-0000-00002B000000}"/>
    <hyperlink ref="E185" r:id="rId26" display="0%" xr:uid="{00000000-0004-0000-0000-00002C000000}"/>
    <hyperlink ref="A186:B186" r:id="rId27" display="Bank Centrali ta' Malta" xr:uid="{00000000-0004-0000-0000-00002E000000}"/>
    <hyperlink ref="D217" r:id="rId28" display="1.25%" xr:uid="{00000000-0004-0000-0000-000033000000}"/>
    <hyperlink ref="E217" r:id="rId29" display="0%" xr:uid="{00000000-0004-0000-0000-000034000000}"/>
    <hyperlink ref="A218:B218" r:id="rId30" display="Banco de Portugal" xr:uid="{00000000-0004-0000-0000-000035000000}"/>
    <hyperlink ref="E262" r:id="rId31" display="0%" xr:uid="{00000000-0004-0000-0000-00003B000000}"/>
    <hyperlink ref="A263:B263" r:id="rId32" display="Banco de España" xr:uid="{00000000-0004-0000-0000-00003E000000}"/>
    <hyperlink ref="D161:D162" r:id="rId33" display="2.5%" xr:uid="{00000000-0004-0000-0000-000040000000}"/>
    <hyperlink ref="D185:D186" r:id="rId34" display="https://www.mfsa.mt/wp-content/uploads/2019/02/Banking-Rule-15.pdf" xr:uid="{00000000-0004-0000-0000-000041000000}"/>
    <hyperlink ref="E185:E186" r:id="rId35" display="0%" xr:uid="{00000000-0004-0000-0000-000042000000}"/>
    <hyperlink ref="D177:D178" r:id="rId36" location="capital-conservation-buffer-ccb" display="https://www.cssf.lu/en/macroprudential-supervision/ - capital-conservation-buffer-ccb" xr:uid="{00000000-0004-0000-0000-000044000000}"/>
    <hyperlink ref="A59:B59" r:id="rId37" display="Česká národní banka" xr:uid="{00000000-0004-0000-0000-000045000000}"/>
    <hyperlink ref="G58:G59" r:id="rId38" display="https://www.cnb.cz/en/financial-stability/macroprudential-policy/list-of-other-systemically-important-institutions/" xr:uid="{00000000-0004-0000-0000-000046000000}"/>
    <hyperlink ref="E67:E68" r:id="rId39" display="https://systemicriskcouncil.dk/working-areas/countercyclical-capital-buffer" xr:uid="{00000000-0004-0000-0000-000049000000}"/>
    <hyperlink ref="E58:E59" r:id="rId40" display="https://www.cnb.cz/en/financial-stability/macroprudential-policy/the-countercyclical-capital-buffer/" xr:uid="{00000000-0004-0000-0000-000055000000}"/>
    <hyperlink ref="E124:E125" r:id="rId41" display="https://www.mnb.hu/en/financial-stability/macroprudential-policy/the-macroprudential-toolkit/countercyclical-capital-buffer-ccyb" xr:uid="{00000000-0004-0000-0000-000056000000}"/>
    <hyperlink ref="E166:E167" r:id="rId42" display="https://www.fma-li.li/en/supervision/financial-stability-and-macroprudential-supervision/macroprudential-instruments/countercyclical-capital-buffer.html" xr:uid="{00000000-0004-0000-0000-000057000000}"/>
    <hyperlink ref="G166:G167" r:id="rId43" display="3 banks: 2%" xr:uid="{00000000-0004-0000-0000-000058000000}"/>
    <hyperlink ref="A256:B256" r:id="rId44" display="Banka Slovenije" xr:uid="{00000000-0004-0000-0000-00005C000000}"/>
    <hyperlink ref="E226" r:id="rId45" display="0%" xr:uid="{00000000-0004-0000-0000-00005F000000}"/>
    <hyperlink ref="A199:B199" r:id="rId46" display="Norwegian Ministry of Finance" xr:uid="{00000000-0004-0000-0000-000060000000}"/>
    <hyperlink ref="E198:E199" r:id="rId47" display="https://www.norges-bank.no/en/news-events/news-publications/News-items/2024/2024-01-25-ccb/" xr:uid="{00000000-0004-0000-0000-000061000000}"/>
    <hyperlink ref="E204" r:id="rId48" display="0%" xr:uid="{00000000-0004-0000-0000-000063000000}"/>
    <hyperlink ref="A206:B206" r:id="rId49" display="Komisja Nadzoru Finansowego" xr:uid="{00000000-0004-0000-0000-000064000000}"/>
    <hyperlink ref="D204" r:id="rId50" display="https://www.nbp.pl/macroprudentialsupervision/instrumenty.aspx" xr:uid="{00000000-0004-0000-0000-000065000000}"/>
    <hyperlink ref="A205:B205" r:id="rId51" display="Minister Finansów" xr:uid="{00000000-0004-0000-0000-000066000000}"/>
    <hyperlink ref="E8" r:id="rId52" display="0%" xr:uid="{00000000-0004-0000-0000-000067000000}"/>
    <hyperlink ref="A9:B9" r:id="rId53" display="Finanzmarktaufsicht (FMA)" xr:uid="{00000000-0004-0000-0000-00006A000000}"/>
    <hyperlink ref="E25" r:id="rId54" display="0%" xr:uid="{00000000-0004-0000-0000-00006B000000}"/>
    <hyperlink ref="G25" r:id="rId55" display="https://www.nbb.be/en/financial-oversight/macroprudential-supervision/macroprudential-instruments/other-systemically" xr:uid="{00000000-0004-0000-0000-00006C000000}"/>
    <hyperlink ref="A26:B26" r:id="rId56" display="National Bank of Belgium" xr:uid="{00000000-0004-0000-0000-00006D000000}"/>
    <hyperlink ref="E25:E26" r:id="rId57" display="0%" xr:uid="{00000000-0004-0000-0000-00006E000000}"/>
    <hyperlink ref="A37:B37" r:id="rId58" display="Bulgarian National Bank" xr:uid="{00000000-0004-0000-0000-000070000000}"/>
    <hyperlink ref="E36:E37" r:id="rId59" display="https://www.bnb.bg/BankSupervision/BSCapitalBuffers/BSCBCountercyclical/index.htm?toLang=_EN" xr:uid="{00000000-0004-0000-0000-000071000000}"/>
    <hyperlink ref="G36:G37" r:id="rId60" display="https://www.bnb.bg/BankSupervision/BSCapitalBuffers/BSCBOtherSystemicallyImportantInstitutions/index.htm?toLang=_EN" xr:uid="{00000000-0004-0000-0000-000072000000}"/>
    <hyperlink ref="A79:B79" r:id="rId61" display="Eesti Pank" xr:uid="{00000000-0004-0000-0000-000080000000}"/>
    <hyperlink ref="E86:E87" r:id="rId62" display="0%" xr:uid="{00000000-0004-0000-0000-000081000000}"/>
    <hyperlink ref="A87:B87" r:id="rId63" display="Finanssivalvonta" xr:uid="{00000000-0004-0000-0000-000083000000}"/>
    <hyperlink ref="E86" r:id="rId64" display="0%" xr:uid="{00000000-0004-0000-0000-000085000000}"/>
    <hyperlink ref="D86" r:id="rId65" display="2.5%" xr:uid="{00000000-0004-0000-0000-000086000000}"/>
    <hyperlink ref="E101" r:id="rId66" display="0%" xr:uid="{00000000-0004-0000-0000-000087000000}"/>
    <hyperlink ref="A102:B102" r:id="rId67" display="Bundesanstalt für Finanzdienstleistungsaufsicht" xr:uid="{00000000-0004-0000-0000-000088000000}"/>
    <hyperlink ref="E101:E102" r:id="rId68" display="0%" xr:uid="{00000000-0004-0000-0000-00008A000000}"/>
    <hyperlink ref="E118" r:id="rId69" display="0%" xr:uid="{00000000-0004-0000-0000-00008C000000}"/>
    <hyperlink ref="A119:B119" r:id="rId70" display="Bank of Greece" xr:uid="{00000000-0004-0000-0000-00008E000000}"/>
    <hyperlink ref="E118:E119" r:id="rId71" display="https://www.bankofgreece.gr/en/main-tasks/financial-stability/macroprudential-policy/countercyclical-capital-buffer" xr:uid="{00000000-0004-0000-0000-00008F000000}"/>
    <hyperlink ref="G226" r:id="rId72" display="http://www.bnr.ro/page.aspx?prid=12537" xr:uid="{00000000-0004-0000-0000-000096000000}"/>
    <hyperlink ref="G226:G227" r:id="rId73" display="http://www.bnr.ro/Macroprudential-Policy-15315.aspx" xr:uid="{00000000-0004-0000-0000-000097000000}"/>
    <hyperlink ref="A227:B227" r:id="rId74" display="Banca Naţională a României" xr:uid="{00000000-0004-0000-0000-000098000000}"/>
    <hyperlink ref="E262:E263" r:id="rId75" display="0%" xr:uid="{075A2ACC-B897-4304-8EC8-1D51B2931AE3}"/>
    <hyperlink ref="E152:E153" r:id="rId76" display="https://www.bancaditalia.it/compiti/stabilita-finanziaria/politica-macroprudenziale/index.html" xr:uid="{B019989C-40DD-4543-BDA8-7DFE34B219CA}"/>
    <hyperlink ref="G67:G68" r:id="rId77" display="https://www.finanstilsynet.dk/Nyheder-og-Presse/Pressemeddelelser/2021/Sifi_250621" xr:uid="{01FB8992-2E64-468F-9E8C-E3C07F4C2122}"/>
    <hyperlink ref="G198:G199" r:id="rId78" display="https://www.regjeringen.no/no/aktuelt/beslutning-om-systemviktige-finansforetak/id2996262/" xr:uid="{B3A815F3-1126-49F7-9499-B4404EC1056E}"/>
    <hyperlink ref="G124:G125" r:id="rId79" display="https://www.nbb.be/en/activities/financial-supervision-and-resolution/financial-stability/macroprudential-instruments" xr:uid="{29F0C9B5-A84C-4339-BC7D-E6495770B5F6}"/>
    <hyperlink ref="E268:E269" r:id="rId80" display="https://www.fi.se/en/published/news/2025/fi-leaves-the-countercyclical-buffer-rate-unchanged4/" xr:uid="{00000000-0004-0000-0000-00004F000000}"/>
    <hyperlink ref="E226:E227" r:id="rId81" display="http://www.cnsmro.ro/en/sedinta-cnsm-din-14-octombrie-2021/" xr:uid="{4B3A1B51-E72E-4ECE-B85C-657FB6FFA945}"/>
    <hyperlink ref="D118:D119" r:id="rId82" display="https://www.bankofgreece.gr/en/main-tasks/financial-stability/macroprudential-policy/capital-conservation-buffer" xr:uid="{0FE264F4-38E0-4D6F-B0F4-97A58B4B261B}"/>
    <hyperlink ref="A68:C68" r:id="rId83" display="Minister for Industry, Business and Financial Affairs" xr:uid="{466D25D5-1651-40FD-89A1-F1D522129B3B}"/>
    <hyperlink ref="E78" r:id="rId84" display="0%" xr:uid="{E3B4A600-2EB1-41E5-A6E3-6335D1DA4542}"/>
    <hyperlink ref="E255" r:id="rId85" display="0%" xr:uid="{361E02CD-DFBF-40D0-99AA-C47B22DC536F}"/>
    <hyperlink ref="E255:E256" r:id="rId86" display="https://www.bsi.si/en/financial-stability/macroprudential-supervision/macroprudential-instruments" xr:uid="{E393E82D-E707-498C-9F72-641B0AA1CB7B}"/>
    <hyperlink ref="D204:D206" r:id="rId87" display="https://nbp.pl/en/financial-system/macroprudential-supervision/macroprudential-instruments/conservation-buffer/" xr:uid="{FC412674-080F-4254-BFF9-B8DC9E227A45}"/>
    <hyperlink ref="E204:E206" r:id="rId88" display="https://nbp.pl/en/financial-system/macroprudential-supervision/countercyclical-buffer/buffer-rate/" xr:uid="{98C3052E-663A-4BBD-A002-9EBF2CF837AC}"/>
    <hyperlink ref="A9:C9" r:id="rId89" display="Finanzmarktaufsicht" xr:uid="{9AE3BC87-9BBB-4919-88DE-B8BACABC1059}"/>
    <hyperlink ref="H86:H87" r:id="rId90" display="https://www.finanssivalvonta.fi/en/publications-and-press-releases/Press-release/2025/macroprudential-decision-national-buffer-requirements-for-banks-and-the-housing-loan-cap-to-remain-unchanged/" xr:uid="{0F21C273-F7BF-4253-A581-3C8AB6A037B7}"/>
    <hyperlink ref="D133:D134" r:id="rId91" display="https://www.cb.is/financial-stability/macroprudential-policy/capital-buffers/" xr:uid="{12897BB4-29F7-4DDB-ADF2-2470E54241CA}"/>
    <hyperlink ref="G133:G134" r:id="rId92" display="https://www.cb.is/financial-stability/macroprudential-policy/capital-buffers/" xr:uid="{95EFB657-476C-4CE5-BB95-7A146505C07A}"/>
    <hyperlink ref="E133:E134" r:id="rId93" display="https://www.cb.is/financial-stability/macroprudential-policy/capital-buffers/" xr:uid="{C04F896C-C71C-4F3A-8CD4-72A5BFC5E204}"/>
    <hyperlink ref="H133:H134" r:id="rId94" display="https://www.cb.is/financial-stability/macroprudential-policy/capital-buffers/" xr:uid="{19092B96-5A6D-46E4-A15D-3E6AD2755918}"/>
    <hyperlink ref="G133" r:id="rId95" display="http://www.centralbank.ie/stability/MacroprudentialPol/Pages/OtherSystemicallyImportantInstitutions(O-SII).aspx" xr:uid="{E0A1270B-DD17-42BC-A7F3-5E26E8F20D1B}"/>
    <hyperlink ref="A134:B134" r:id="rId96" display="Central Bank of Iceland" xr:uid="{0CE9F269-1822-4FF5-AF15-0EBD23628EF6}"/>
    <hyperlink ref="A45:B45" r:id="rId97" display="Hrvatska narodna banka" xr:uid="{71C07E68-CD4A-4546-AACA-04BE4D8A3AEA}"/>
    <hyperlink ref="E44:E45" r:id="rId98" display="https://www.hnb.hr/en/core-functions/financial-stability/cnb-s-macroprudential-policy/countercyclical-capital-buffer" xr:uid="{68A61A1D-67E1-4920-A3A5-D8931E668443}"/>
    <hyperlink ref="D44:D45" r:id="rId99" display="https://www.hnb.hr/en/core-functions/financial-stability/macroprudential-measures/capital-conservation-buffer" xr:uid="{49B2F4D4-A134-4910-AC70-65527967DBDD}"/>
    <hyperlink ref="A54:B54" r:id="rId100" display="Central Bank of Cyprus" xr:uid="{F09CCB5C-43A2-4E97-AF14-10AF7931A39F}"/>
    <hyperlink ref="E53" r:id="rId101" display="0%" xr:uid="{729903D6-F576-411D-8458-05E3EC3BD390}"/>
    <hyperlink ref="A145:B145" r:id="rId102" display="Central Bank of Ireland" xr:uid="{7CC6C30E-9666-4CEE-94B6-2C5B58DAB08B}"/>
    <hyperlink ref="E144:E145" r:id="rId103" display="https://www.centralbank.ie/macro-prudential-policies-for-bank-capital/countercyclical-capital-buffer" xr:uid="{811E54FC-339C-4235-8B95-2D25B58BFBA3}"/>
    <hyperlink ref="E191" r:id="rId104" display="0%" xr:uid="{7D9636DD-70D6-40C8-B3C7-4B66E28E488B}"/>
    <hyperlink ref="A192:B192" r:id="rId105" display="De Nederlandsche Bank" xr:uid="{A782AE25-8FC6-400D-AC91-8DC882648B37}"/>
    <hyperlink ref="E191:E192" r:id="rId106" display="https://www.dnb.nl/en/sector-news/supervision-2025/q3/dnb-maintains-the-countercyclical-capital-buffer-at-2/" xr:uid="{F29D462D-F53D-4A1C-9EE6-EC1FC4D65478}"/>
    <hyperlink ref="D248" r:id="rId107" display="2.5%" xr:uid="{63B134E1-B705-4F37-85DB-DA58D8D7DCD0}"/>
    <hyperlink ref="E248" r:id="rId108" display="0%" xr:uid="{EB6DED26-EF39-4868-AEB8-3C56A125DC8A}"/>
    <hyperlink ref="A249:B249" r:id="rId109" display="National Bank of Slovakia" xr:uid="{775E6FB8-95C1-46BB-8574-4B336148EEAA}"/>
    <hyperlink ref="I185:I186" r:id="rId110" display="1.5% s" xr:uid="{1392EB9E-8196-4AE5-BA8A-26EF4BF4FEDE}"/>
    <hyperlink ref="H198:H199" r:id="rId111" display="https://www.regjeringen.no/en/aktuelt/changes-in-banks-capital-requirements-from-year-end-2020/id2682169/" xr:uid="{E7B1F764-B0F6-464B-A51E-7E01CAE07AB8}"/>
    <hyperlink ref="H226:H227" r:id="rId112" display="21 banks: _x000a_0%-1%" xr:uid="{CB72A0B5-18FA-441F-94E5-E5D4578E01FE}"/>
    <hyperlink ref="H44:H45" r:id="rId113" display="https://www.hnb.hr/en/core-functions/financial-stability/cnb-s-macroprudential-policy/systemic-risk-buffer" xr:uid="{A298894F-A653-4850-9D21-088A4777C0F1}"/>
    <hyperlink ref="H36:H37" r:id="rId114" display="All banks:" xr:uid="{A77160B1-C5D8-49C5-A629-26E847254FCA}"/>
    <hyperlink ref="H8" r:id="rId115" display="https://www.fma.gv.at/en/banks/macroprudential-supervision/details-about-systemic-risk-buffer/" xr:uid="{9D76B1EC-DAB6-4A56-BF1C-6D2D25618BD0}"/>
    <hyperlink ref="I171:I172" r:id="rId116" location="ex-1-4" display="2% s" xr:uid="{F8EAAAE5-A7EF-4E11-8776-26F159882146}"/>
    <hyperlink ref="I25:I26" r:id="rId117" display="https://www.nbb.be/en/financial-oversight/macroprudential-supervision/macroprudential-instruments/real-estate" xr:uid="{AF6E457E-7590-4178-93DE-34600A819E36}"/>
    <hyperlink ref="I67:I68" r:id="rId118" display="https://systemicriskcouncil.dk/news/2024/june/follow-up-on-the-decision-by-the-minister-for-industry-business-and-financial-affairs-to-activate-a-sector-specific-systemic-risk-buffer-for-corporate-exposures-to-real-estate-companies" xr:uid="{AA5702F9-EA7F-4745-9DD7-436B75B01A85}"/>
    <hyperlink ref="I152:I153" r:id="rId119" display="https://www.bancaditalia.it/media/comunicati/documenti/2024-01/pr_SyRB_Activation_of_the_systemic_risk_buffer.pdf?language_id=1" xr:uid="{BACF623D-9307-406C-B06B-84706BA08F19}"/>
    <hyperlink ref="E161" r:id="rId120" display="0%" xr:uid="{A029D99E-3D7C-49C7-8889-C5FCFDEB9070}"/>
    <hyperlink ref="E161:E162" r:id="rId121" location="the-effective-ccyb-rate" display="https://www.bank.lv/en/operational-areas/financial-stability/macroprudential-measures-introduced-in-latvia/countercyclical-capital-buffer - the-effective-ccyb-rate" xr:uid="{DFE72880-430B-4AB8-B5B4-A0F4395C8BB8}"/>
    <hyperlink ref="A92:B92" r:id="rId122" display="Autorité de Contrôle Prudentiel et de Résolution (ACPR)" xr:uid="{989DA209-CEB1-43B8-92AC-E1A7DEB672BC}"/>
    <hyperlink ref="E91" r:id="rId123" display="0%" xr:uid="{DA6573F7-482D-41B4-9B2C-8A5CE0D363DF}"/>
    <hyperlink ref="E91:E93" r:id="rId124" display="https://www.economie.gouv.fr/hcsf/decisions-hcsf" xr:uid="{41C4F382-28D1-4598-8B0F-5FE3BF15920E}"/>
    <hyperlink ref="I217:I218" r:id="rId125" display="All banks: 4% (s)" xr:uid="{5ED9789E-4528-4F05-BEDB-C1C218E077FB}"/>
    <hyperlink ref="G8" r:id="rId126" display="https://www.fma.gv.at/en/banks/macroprudential-supervision/details-about-identified-institutions/" xr:uid="{E490FD54-88CC-487B-A36C-B12ABFAC978F}"/>
    <hyperlink ref="G8:G9" r:id="rId127" display="https://www.fma.gv.at/en/banks/macroprudential-supervision/details-osii-buffer/" xr:uid="{136C6686-AB6B-41D4-85A0-FDAAC347E778}"/>
    <hyperlink ref="I255:I256" r:id="rId128" display="0.5% s" xr:uid="{EBBF6732-69D2-4697-A0FF-4C61971EB3BB}"/>
    <hyperlink ref="G44:G45" r:id="rId129" display="https://www.hnb.hr/en/core-functions/financial-stability/cnb-s-macroprudential-policy/systemically-important-institutions" xr:uid="{C8381158-1FAA-4B7F-BA5C-5D3A7BC3147F}"/>
    <hyperlink ref="G53" r:id="rId130" display="6 banks: n/a" xr:uid="{FBA4B309-B9BF-4272-9BC4-8F26134B4B81}"/>
    <hyperlink ref="G53:G54" r:id="rId131" display="https://www.centralbank.cy/en/financial-stability/macroprudential-policy-decisions/o-sii-capital-buffer-for-other-systemically-important-institutions-credit-institutions" xr:uid="{63A49E05-4A7B-4576-A6E3-A97DF77AF885}"/>
    <hyperlink ref="G78" r:id="rId132" display="https://www.eestipank.ee/en/financial-stability/other-systemically-important-institutions-buffer" xr:uid="{1F3F103A-6E6B-4490-BE85-00234DD320B3}"/>
    <hyperlink ref="G78:G79" r:id="rId133" display="http://www.eestipank.ee/en/financial-stability/systemically-important-credit-institutions" xr:uid="{0DDE35A0-25E3-4B53-BE11-36C3C09089DB}"/>
    <hyperlink ref="G86:G87" r:id="rId134" display="https://www.finanssivalvonta.fi/en/publications-and-press-releases/Press-release/2025/macroprudential-decision-national-buffer-requirements-for-banks-and-the-housing-loan-cap-to-remain-unchanged/" xr:uid="{12A8941A-7160-4A23-A106-73B90F5118C0}"/>
    <hyperlink ref="G91" r:id="rId135" display="https://acpr.banque-france.fr/nc/publications/registre-officiel.html" xr:uid="{5327C7E1-F9FC-467F-B3DA-31320719A62B}"/>
    <hyperlink ref="G91:G93" r:id="rId136" display="https://acpr.banque-france.fr/en/node/27154" xr:uid="{37287092-04E7-4801-82CD-0F69FD560112}"/>
    <hyperlink ref="G101:G102" r:id="rId137" display="https://www.bafin.de/EN/Aufsicht/BankenFinanzdienstleister/Eigenmittelanforderungen/ASRI/asri_artikel_en.html" xr:uid="{E3EF9F0E-5DB5-4654-AE36-2BB2D8BE5F05}"/>
    <hyperlink ref="G118" r:id="rId138" display="http://www.bankofgreece.gr/Pages/el/Bank/LegalF/committeeacts.aspx" xr:uid="{A2C66E6F-6D10-4C46-9EA6-8885084F9AAC}"/>
    <hyperlink ref="G118:G119" r:id="rId139" display="https://www.bankofgreece.gr/en/main-tasks/financial-stability/macroprudential-policy/o-sii-buffer" xr:uid="{1324E3F7-1FD0-445B-AA41-419F66ECFC09}"/>
    <hyperlink ref="G144" r:id="rId140" display="http://www.centralbank.ie/stability/MacroprudentialPol/Pages/OtherSystemicallyImportantInstitutions(O-SII).aspx" xr:uid="{239C0521-0585-4BAF-8F81-0E15ECF45075}"/>
    <hyperlink ref="G144:G145" r:id="rId141" display="6 banks:                              0.5%-1.5%" xr:uid="{CF9E6DBB-A08A-4A09-A633-348F48AEB0CB}"/>
    <hyperlink ref="G152" r:id="rId142" display="https://www.bancaditalia.it/compiti/stabilita-finanziaria/politica-macroprudenziale/index.html?com.dotmarketing.htmlpage.language=1" xr:uid="{3FE74EA2-A086-4D1E-B932-1CEB6FAB251C}"/>
    <hyperlink ref="G161" r:id="rId143" display="http://www.fktk.lv/en/publications/macroprudential-supervision/other-systemically-significant-institutions.html" xr:uid="{9EBE30F8-B80F-405F-ABE0-165BD440586C}"/>
    <hyperlink ref="G161:G162" r:id="rId144" display="https://www.bank.lv/en/operational-areas/financial-stability/macroprudential-measures-introduced-in-latvia/capital-buffer-for-other-systemically-important-institutions" xr:uid="{13C7CF64-CBA6-4645-B9A2-E6691DA48D48}"/>
    <hyperlink ref="G171:G172" r:id="rId145" location="ex-1-3" display="ex-1-3" xr:uid="{89387195-F340-43C5-9610-1321B56641FD}"/>
    <hyperlink ref="G177" r:id="rId146" location="c7489" display="https://www.cssf.lu/en/documentation/regulations/laws-regulations-and-other-texts/news-cat/130/ - c7489" xr:uid="{FB137647-7EED-4D5C-AB1C-4180FB7B086E}"/>
    <hyperlink ref="G177:G178" r:id="rId147" location="other-systemically-important-institutions-buffer-o-sii-buffer" display="https://www.cssf.lu/en/macroprudential-supervision/ - other-systemically-important-institutions-buffer-o-sii-buffer" xr:uid="{E787DDFC-7C3E-40AF-A0E0-CDF02E4BAABA}"/>
    <hyperlink ref="G185:G186" r:id="rId148" display="https://www.centralbankmalta.org/systemically-important-institutions" xr:uid="{C3B43066-CF42-41FD-AB38-71BE8705F79A}"/>
    <hyperlink ref="G185" r:id="rId149" display="https://www.centralbankmalta.org/systemically-important-institutions" xr:uid="{A20EF271-BF0C-4A74-BC26-08E6D1F0B19A}"/>
    <hyperlink ref="G191" r:id="rId150" display="http://www.dnb.nl/en/about-dnb/duties/financial-stability/macroprudentiele-instrumenten/index.jsp" xr:uid="{119CFB44-F9B4-47A3-BB9D-0D33A41B25D8}"/>
    <hyperlink ref="G191:G192" r:id="rId151" display="https://www.dnb.nl/en/sector-information/open-book-supervision/open-book-supervision-sectors/banks/prudential-supervision/factsheet/buffers-for-systemically-important-banks-g-sii-o-sii/" xr:uid="{D93A3846-68E0-47BB-AB4E-38F0C77A48AB}"/>
    <hyperlink ref="G217" r:id="rId152" display="https://www.bportugal.pt/en/page/o-sii-capital-buffer" xr:uid="{1E47EA8C-2AEE-4E2C-80A1-2E4B9865F8C1}"/>
    <hyperlink ref="G248" r:id="rId153" display="http://www.nbs.sk/en/financial-market-supervision1/macroprudential-policy/current-status-of-macroprudential-instruments/current-setting-of-capital-buffers-in-slovakia" xr:uid="{66BF9ADC-BEA2-4666-8AA5-8C4AB26A6128}"/>
    <hyperlink ref="G248:G249" r:id="rId154" display="https://nbs.sk/en/financial-stability/fs-instruments/o-sii/" xr:uid="{5D679A65-3CDE-425D-BFAE-55E811F522D2}"/>
    <hyperlink ref="G255" r:id="rId155" display="http://www.bsi.si/en/financial-stability.asp?MapaId=1887" xr:uid="{E98D57B1-6F28-4E54-B694-F09924609EE6}"/>
    <hyperlink ref="G255:G256" r:id="rId156" display="https://www.bsi.si/en/financial-stability/macroprudential-supervision/macroprudential-instruments/capital-buffer-for-other-systemically-important-institutions-o-sii-buffer" xr:uid="{4A32735D-41F6-49D7-A2B6-C7EC9AC26601}"/>
    <hyperlink ref="G262" r:id="rId157" display="http://www.bde.es/bde/en/areas/estabilidad/politica-macropr/" xr:uid="{8863B65B-B9E4-4A38-821C-9096FCF5E206}"/>
    <hyperlink ref="F262" r:id="rId158" display="http://www.bde.es/bde/en/areas/estabilidad/politica-macropr/" xr:uid="{4F44BE43-96B3-43BD-A341-6DBC743993C9}"/>
    <hyperlink ref="F262:F263" r:id="rId159" display="https://www.bde.es/bde/en/areas/estabilidad/herramientas-macroprudenciales/identificacion__bbe79f06544b261.html" xr:uid="{E690C089-4656-45C8-8A09-F22B82592DF3}"/>
    <hyperlink ref="F191" r:id="rId160" display="http://www.dnb.nl/en/about-dnb/duties/financial-stability/macroprudentiele-instrumenten/index.jsp" xr:uid="{3E5B1F66-3D31-45A8-9CDA-2DC7F7568F4D}"/>
    <hyperlink ref="F191:F192" r:id="rId161" display="https://www.dnb.nl/en/sector-information/open-book-supervision/open-book-supervision-sectors/banks/prudential-supervision/factsheet/buffers-for-systemically-important-banks-g-sii-o-sii/" xr:uid="{480B0EA9-A6CB-4FB7-B24F-3725653DB352}"/>
    <hyperlink ref="F101:F102" r:id="rId162" display="https://www.bafin.de/EN/Aufsicht/BankenFinanzdienstleister/Eigenmittelanforderungen/ASRI/asri_artikel_en.html" xr:uid="{851DC910-8AFD-42B4-BE9E-FFAA8AD81989}"/>
    <hyperlink ref="F91" r:id="rId163" display="https://acpr.banque-france.fr/nc/publications/registre-officiel.html" xr:uid="{68B072A8-AC44-4BDF-A4FA-93EC1FE81E14}"/>
    <hyperlink ref="F91:F93" r:id="rId164" display="https://acpr.banque-france.fr/en/node/27154" xr:uid="{AAA721E8-4836-4526-8BE0-A57FDB7150BD}"/>
    <hyperlink ref="E53:E54" r:id="rId165" display="0%" xr:uid="{60A3F9C4-1108-472C-B14A-7BB4647496F9}"/>
    <hyperlink ref="H58:H59" r:id="rId166" display="https://www.cnb.cz/en/financial-stability/macroprudential-policy/the-systemic-risk-buffer/" xr:uid="{E45A146F-E73C-493D-8031-D35D06E2220A}"/>
    <hyperlink ref="A93:C93" r:id="rId167" display="Haut Conseil de Stabilité Financière" xr:uid="{3B022F28-09DC-4703-B779-28C939E22A80}"/>
    <hyperlink ref="A93:B93" r:id="rId168" display="Haut Conseil de Stabilité Financière" xr:uid="{3B078E60-096F-4AB4-A8DF-054BD927AA27}"/>
    <hyperlink ref="A92:C92" r:id="rId169" display="Autorité de Contrôle Prudentiel et de Résolution" xr:uid="{8074C47A-589A-4429-AFE2-CF05D972C188}"/>
    <hyperlink ref="I101:I102" r:id="rId170" display="https://www.bafin.de/SharedDocs/Veroeffentlichungen/EN/Meldung/2025/meldung_2025_04_30_BaFin_senkt_Systemrisikopuffer_en.html" xr:uid="{0B222CB7-65A2-4DAE-B13A-68F50C16FC7A}"/>
    <hyperlink ref="G262:G263" r:id="rId171" display="https://www.bde.es/bde/en/areas/estabilidad/herramientas-macroprudenciales/identificacion__bbe79f06544b261.html" xr:uid="{EA5E4CF8-414B-4B35-AD8F-41717B42283E}"/>
    <hyperlink ref="G25:G26" r:id="rId172" display="https://www.nbb.be/en/activities/financial-supervision-and-resolution/financial-stability/macroprudential-instruments" xr:uid="{00000000-0004-0000-0000-00006F000000}"/>
  </hyperlinks>
  <pageMargins left="0.39370078740157483" right="0.39370078740157483" top="0.74803149606299213" bottom="0.39370078740157483" header="0.31496062992125984" footer="0.31496062992125984"/>
  <pageSetup paperSize="8" scale="86" fitToHeight="0" orientation="landscape" r:id="rId173"/>
  <ignoredErrors>
    <ignoredError sqref="J185:J225 J8:J57 J118:J134 J58:J90 J101:J114 J144:J160 J162 J166:J182 J228:J269 J115 J227" formula="1"/>
    <ignoredError sqref="J91" formulaRang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DA332-5438-44A8-A8FA-316536C5837A}">
  <dimension ref="A1:I23"/>
  <sheetViews>
    <sheetView topLeftCell="A7" zoomScale="105" zoomScaleNormal="70" workbookViewId="0">
      <selection activeCell="C21" sqref="C21:C22"/>
    </sheetView>
  </sheetViews>
  <sheetFormatPr defaultRowHeight="14.25" x14ac:dyDescent="0.45"/>
  <cols>
    <col min="2" max="2" width="20" customWidth="1"/>
    <col min="3" max="3" width="99.86328125" customWidth="1"/>
    <col min="4" max="4" width="14.3984375" bestFit="1" customWidth="1"/>
    <col min="5" max="5" width="16.1328125" customWidth="1"/>
    <col min="6" max="6" width="54.59765625" customWidth="1"/>
  </cols>
  <sheetData>
    <row r="1" spans="1:9" x14ac:dyDescent="0.45">
      <c r="A1" s="212" t="s">
        <v>1</v>
      </c>
      <c r="B1" s="213"/>
      <c r="C1" s="216" t="s">
        <v>246</v>
      </c>
      <c r="D1" s="218" t="s">
        <v>247</v>
      </c>
      <c r="E1" s="218" t="s">
        <v>248</v>
      </c>
      <c r="F1" s="220" t="s">
        <v>249</v>
      </c>
    </row>
    <row r="2" spans="1:9" ht="27.75" customHeight="1" x14ac:dyDescent="0.45">
      <c r="A2" s="214"/>
      <c r="B2" s="215"/>
      <c r="C2" s="217"/>
      <c r="D2" s="219"/>
      <c r="E2" s="219"/>
      <c r="F2" s="221"/>
    </row>
    <row r="3" spans="1:9" ht="41.25" customHeight="1" x14ac:dyDescent="0.45">
      <c r="A3" s="222" t="s">
        <v>501</v>
      </c>
      <c r="B3" s="223"/>
      <c r="C3" s="203" t="s">
        <v>510</v>
      </c>
      <c r="D3" s="207" t="s">
        <v>502</v>
      </c>
      <c r="E3" s="205">
        <v>42370</v>
      </c>
      <c r="F3" s="197"/>
    </row>
    <row r="4" spans="1:9" ht="59.25" customHeight="1" x14ac:dyDescent="0.45">
      <c r="A4" s="210" t="s">
        <v>503</v>
      </c>
      <c r="B4" s="211"/>
      <c r="C4" s="204"/>
      <c r="D4" s="208"/>
      <c r="E4" s="206"/>
      <c r="F4" s="198"/>
    </row>
    <row r="5" spans="1:9" ht="15" customHeight="1" x14ac:dyDescent="0.45">
      <c r="A5" s="201" t="s">
        <v>147</v>
      </c>
      <c r="B5" s="202"/>
      <c r="C5" s="203" t="s">
        <v>511</v>
      </c>
      <c r="D5" s="207" t="s">
        <v>250</v>
      </c>
      <c r="E5" s="205">
        <v>44562</v>
      </c>
      <c r="F5" s="197" t="s">
        <v>525</v>
      </c>
    </row>
    <row r="6" spans="1:9" ht="89.65" customHeight="1" x14ac:dyDescent="0.45">
      <c r="A6" s="199" t="s">
        <v>148</v>
      </c>
      <c r="B6" s="200"/>
      <c r="C6" s="204"/>
      <c r="D6" s="208"/>
      <c r="E6" s="206"/>
      <c r="F6" s="198"/>
    </row>
    <row r="7" spans="1:9" ht="78.75" customHeight="1" x14ac:dyDescent="0.45">
      <c r="A7" s="176" t="s">
        <v>154</v>
      </c>
      <c r="B7" s="177"/>
      <c r="C7" s="209" t="s">
        <v>262</v>
      </c>
      <c r="D7" s="180" t="s">
        <v>250</v>
      </c>
      <c r="E7" s="182">
        <v>44196</v>
      </c>
      <c r="F7" s="197" t="s">
        <v>526</v>
      </c>
    </row>
    <row r="8" spans="1:9" ht="45" customHeight="1" x14ac:dyDescent="0.45">
      <c r="A8" s="190" t="s">
        <v>155</v>
      </c>
      <c r="B8" s="191"/>
      <c r="C8" s="209"/>
      <c r="D8" s="181"/>
      <c r="E8" s="183"/>
      <c r="F8" s="198"/>
    </row>
    <row r="9" spans="1:9" ht="141.75" customHeight="1" x14ac:dyDescent="0.45">
      <c r="A9" s="176" t="s">
        <v>154</v>
      </c>
      <c r="B9" s="177"/>
      <c r="C9" s="193" t="s">
        <v>527</v>
      </c>
      <c r="D9" s="180" t="s">
        <v>250</v>
      </c>
      <c r="E9" s="182">
        <v>44196</v>
      </c>
      <c r="F9" s="197" t="s">
        <v>528</v>
      </c>
    </row>
    <row r="10" spans="1:9" ht="48" customHeight="1" x14ac:dyDescent="0.45">
      <c r="A10" s="190" t="s">
        <v>155</v>
      </c>
      <c r="B10" s="191"/>
      <c r="C10" s="194"/>
      <c r="D10" s="181"/>
      <c r="E10" s="183"/>
      <c r="F10" s="198"/>
    </row>
    <row r="11" spans="1:9" ht="119.25" customHeight="1" x14ac:dyDescent="0.45">
      <c r="A11" s="176" t="s">
        <v>154</v>
      </c>
      <c r="B11" s="177"/>
      <c r="C11" s="193" t="s">
        <v>482</v>
      </c>
      <c r="D11" s="180" t="s">
        <v>457</v>
      </c>
      <c r="E11" s="182">
        <v>45473</v>
      </c>
      <c r="F11" s="195" t="s">
        <v>506</v>
      </c>
    </row>
    <row r="12" spans="1:9" ht="58.15" customHeight="1" x14ac:dyDescent="0.45">
      <c r="A12" s="190" t="s">
        <v>155</v>
      </c>
      <c r="B12" s="191"/>
      <c r="C12" s="194"/>
      <c r="D12" s="181"/>
      <c r="E12" s="183"/>
      <c r="F12" s="196"/>
    </row>
    <row r="13" spans="1:9" ht="14.65" customHeight="1" x14ac:dyDescent="0.45">
      <c r="A13" s="176" t="s">
        <v>214</v>
      </c>
      <c r="B13" s="177"/>
      <c r="C13" s="192" t="s">
        <v>483</v>
      </c>
      <c r="D13" s="180" t="s">
        <v>250</v>
      </c>
      <c r="E13" s="182">
        <v>43465</v>
      </c>
      <c r="F13" s="188" t="s">
        <v>542</v>
      </c>
    </row>
    <row r="14" spans="1:9" ht="34.5" customHeight="1" x14ac:dyDescent="0.45">
      <c r="A14" s="190" t="s">
        <v>216</v>
      </c>
      <c r="B14" s="191"/>
      <c r="C14" s="192"/>
      <c r="D14" s="181"/>
      <c r="E14" s="183"/>
      <c r="F14" s="189"/>
      <c r="I14" s="67"/>
    </row>
    <row r="15" spans="1:9" ht="14.65" customHeight="1" x14ac:dyDescent="0.45">
      <c r="A15" s="176" t="s">
        <v>214</v>
      </c>
      <c r="B15" s="177"/>
      <c r="C15" s="178" t="s">
        <v>481</v>
      </c>
      <c r="D15" s="180" t="s">
        <v>250</v>
      </c>
      <c r="E15" s="182">
        <v>45199</v>
      </c>
      <c r="F15" s="188" t="s">
        <v>543</v>
      </c>
    </row>
    <row r="16" spans="1:9" ht="70.150000000000006" customHeight="1" x14ac:dyDescent="0.45">
      <c r="A16" s="190" t="s">
        <v>216</v>
      </c>
      <c r="B16" s="191"/>
      <c r="C16" s="179"/>
      <c r="D16" s="181"/>
      <c r="E16" s="183"/>
      <c r="F16" s="189"/>
    </row>
    <row r="17" spans="1:6" ht="14.65" customHeight="1" x14ac:dyDescent="0.45">
      <c r="A17" s="176" t="s">
        <v>51</v>
      </c>
      <c r="B17" s="177"/>
      <c r="C17" s="178" t="s">
        <v>568</v>
      </c>
      <c r="D17" s="180" t="s">
        <v>570</v>
      </c>
      <c r="E17" s="182">
        <v>46113</v>
      </c>
      <c r="F17" s="184"/>
    </row>
    <row r="18" spans="1:6" ht="58.15" customHeight="1" x14ac:dyDescent="0.45">
      <c r="A18" s="186" t="s">
        <v>569</v>
      </c>
      <c r="B18" s="187"/>
      <c r="C18" s="179"/>
      <c r="D18" s="181"/>
      <c r="E18" s="183"/>
      <c r="F18" s="185"/>
    </row>
    <row r="19" spans="1:6" ht="24" customHeight="1" x14ac:dyDescent="0.45">
      <c r="A19" s="176" t="s">
        <v>100</v>
      </c>
      <c r="B19" s="177"/>
      <c r="C19" s="178" t="s">
        <v>580</v>
      </c>
      <c r="D19" s="180" t="s">
        <v>571</v>
      </c>
      <c r="E19" s="182">
        <v>46296</v>
      </c>
      <c r="F19" s="184"/>
    </row>
    <row r="20" spans="1:6" ht="97.5" customHeight="1" x14ac:dyDescent="0.45">
      <c r="A20" s="186" t="s">
        <v>101</v>
      </c>
      <c r="B20" s="187"/>
      <c r="C20" s="179"/>
      <c r="D20" s="181"/>
      <c r="E20" s="183"/>
      <c r="F20" s="185"/>
    </row>
    <row r="21" spans="1:6" ht="24.6" customHeight="1" x14ac:dyDescent="0.45">
      <c r="A21" s="176" t="s">
        <v>112</v>
      </c>
      <c r="B21" s="177"/>
      <c r="C21" s="192" t="s">
        <v>574</v>
      </c>
      <c r="D21" s="180" t="s">
        <v>576</v>
      </c>
      <c r="E21" s="182">
        <v>45962</v>
      </c>
      <c r="F21" s="184"/>
    </row>
    <row r="22" spans="1:6" ht="92.65" customHeight="1" x14ac:dyDescent="0.45">
      <c r="A22" s="186" t="s">
        <v>575</v>
      </c>
      <c r="B22" s="187"/>
      <c r="C22" s="192"/>
      <c r="D22" s="181"/>
      <c r="E22" s="183"/>
      <c r="F22" s="185"/>
    </row>
    <row r="23" spans="1:6" x14ac:dyDescent="0.45">
      <c r="C23" s="67" t="s">
        <v>480</v>
      </c>
    </row>
  </sheetData>
  <autoFilter ref="A1:F16" xr:uid="{374DA332-5438-44A8-A8FA-316536C5837A}">
    <filterColumn colId="0" showButton="0"/>
  </autoFilter>
  <mergeCells count="65">
    <mergeCell ref="A21:B21"/>
    <mergeCell ref="C21:C22"/>
    <mergeCell ref="D21:D22"/>
    <mergeCell ref="E21:E22"/>
    <mergeCell ref="F21:F22"/>
    <mergeCell ref="A22:B22"/>
    <mergeCell ref="F3:F4"/>
    <mergeCell ref="A4:B4"/>
    <mergeCell ref="A1:B2"/>
    <mergeCell ref="C1:C2"/>
    <mergeCell ref="D1:D2"/>
    <mergeCell ref="E1:E2"/>
    <mergeCell ref="F1:F2"/>
    <mergeCell ref="A3:B3"/>
    <mergeCell ref="C3:C4"/>
    <mergeCell ref="D3:D4"/>
    <mergeCell ref="E3:E4"/>
    <mergeCell ref="E9:E10"/>
    <mergeCell ref="A7:B7"/>
    <mergeCell ref="F9:F10"/>
    <mergeCell ref="A10:B10"/>
    <mergeCell ref="C7:C8"/>
    <mergeCell ref="D7:D8"/>
    <mergeCell ref="E7:E8"/>
    <mergeCell ref="A8:B8"/>
    <mergeCell ref="A9:B9"/>
    <mergeCell ref="C9:C10"/>
    <mergeCell ref="D9:D10"/>
    <mergeCell ref="F5:F6"/>
    <mergeCell ref="A6:B6"/>
    <mergeCell ref="F7:F8"/>
    <mergeCell ref="A5:B5"/>
    <mergeCell ref="C5:C6"/>
    <mergeCell ref="E5:E6"/>
    <mergeCell ref="D5:D6"/>
    <mergeCell ref="A11:B11"/>
    <mergeCell ref="C11:C12"/>
    <mergeCell ref="D11:D12"/>
    <mergeCell ref="E11:E12"/>
    <mergeCell ref="F11:F12"/>
    <mergeCell ref="A12:B12"/>
    <mergeCell ref="A13:B13"/>
    <mergeCell ref="C13:C14"/>
    <mergeCell ref="D13:D14"/>
    <mergeCell ref="E13:E14"/>
    <mergeCell ref="F13:F14"/>
    <mergeCell ref="A14:B14"/>
    <mergeCell ref="A15:B15"/>
    <mergeCell ref="C15:C16"/>
    <mergeCell ref="D15:D16"/>
    <mergeCell ref="E15:E16"/>
    <mergeCell ref="F15:F16"/>
    <mergeCell ref="A16:B16"/>
    <mergeCell ref="A19:B19"/>
    <mergeCell ref="C19:C20"/>
    <mergeCell ref="D19:D20"/>
    <mergeCell ref="E19:E20"/>
    <mergeCell ref="F19:F20"/>
    <mergeCell ref="A20:B20"/>
    <mergeCell ref="A17:B17"/>
    <mergeCell ref="C17:C18"/>
    <mergeCell ref="D17:D18"/>
    <mergeCell ref="E17:E18"/>
    <mergeCell ref="F17:F18"/>
    <mergeCell ref="A18:B18"/>
  </mergeCells>
  <hyperlinks>
    <hyperlink ref="A8:B8" r:id="rId1" display="Norwegian Ministry of Finance" xr:uid="{213787CA-1BB4-4C81-BB92-9D452B5F9D1C}"/>
    <hyperlink ref="A10:B10" r:id="rId2" display="Norwegian Ministry of Finance" xr:uid="{496121C9-2DE4-499E-8310-F47E96357202}"/>
    <hyperlink ref="A14:B14" r:id="rId3" display="Finansinspektionen" xr:uid="{B9A4B26E-4A22-481F-BA67-881CFF018A35}"/>
    <hyperlink ref="A16:B16" r:id="rId4" display="Finansinspektionen" xr:uid="{B37AFFDB-4E64-4293-A6D3-0EC3364F6C33}"/>
    <hyperlink ref="I10" r:id="rId5" display="https://www.nbb.be/en/financial-oversight/macroprudential-supervision/macroprudential-instruments/other-systemically" xr:uid="{AC93C408-826B-406B-BCE9-F330EAEA89B0}"/>
    <hyperlink ref="A12:B12" r:id="rId6" display="Norwegian Ministry of Finance" xr:uid="{2E816E77-4802-4D19-8B63-25B5B099F54E}"/>
    <hyperlink ref="A4:B4" r:id="rId7" display="Croatian National Bank" xr:uid="{7C9D4D72-A488-463A-9DDB-B9F9981BCA50}"/>
    <hyperlink ref="F9:F10" r:id="rId8" display="Banks’ capital requirements unchanged - regjeringen.no" xr:uid="{C32075E9-A400-4BDD-9227-EAAC6E90DAB6}"/>
    <hyperlink ref="F11:F12" r:id="rId9" display="Nå kan landbruket få rimeligere lån - regjeringen.no" xr:uid="{502111EA-26E4-455E-8167-C5343CEF3E05}"/>
    <hyperlink ref="A6:B6" r:id="rId10" display="De Nederlandsche Bank" xr:uid="{19CF9694-5327-4F75-B9F2-BAE99D1495D6}"/>
    <hyperlink ref="C5:C6" r:id="rId11" display=" DNB applies a risk weight floor measure on the mortgage loan portfolios of IRB banks. For each exposure, a 12% risk weight is assigned  to the portion of the loan not exceeding 55% of the collateral’s market value, and a 45% risk weight is assigned to the remaining portion of the loan. On 1 December 2024 DNB has decided to extend the measure for two years. This extension option is provided for in Article 458 of the Capital Requirements Regulation. " xr:uid="{D457F757-AEBD-4454-B0C2-1243E7FEB878}"/>
    <hyperlink ref="C3:C4" r:id="rId12" display="Croatian National Bank has reviewed the discretions granted by Article 124 of the CRR regarding establishing stricter criteria for exposures secured by mortgages on residential properties, and applying a higher risk weight (100%) for exposures secured by mortgages on commercial properties due to implementation of Regulation (EU) 2024/1623 of the European Parliament and of the Council of 31 May 2024 amending Regulation (EU) No 575/2013 as regards requirements for credit risk, credit valuation adjustment risk, operational risk, market risk and the output floor.  As a result, it has dropped 2 out of 4 stricter criteria for residential real estate due to updated definition of &quot;residential property&quot; and revoked the application of the higher risk weight requirement for commercial real estate." xr:uid="{FF19FE5C-9ACD-4F83-81B5-B86FEAA94095}"/>
    <hyperlink ref="C13:C14" r:id="rId13" display="Finansinspektionen has decided to extend the existing risk weight floor for Swedish mortgage exposures. The credit institution-specific minimum level of 25% for the average risk weight on Swedish mortgages is applicable to credit institutions that have adopted the Internal Ratings Based Approach." xr:uid="{3CC9D8A5-F1EE-4778-98EF-C4A8D08F696F}"/>
    <hyperlink ref="C15:C16" r:id="rId14" display="Finansinspektionen has decided that a credit institution-specific minimum level of 25% average risk weight for corporate exposures secured by residential properties and of 35% for corporate exposures secured by commercial properties is applicable to credit institutions that have adopted the Internal Ratings Based Approach." xr:uid="{DD98973A-F694-4FCF-B802-05375C6E884B}"/>
    <hyperlink ref="A18:B18" r:id="rId15" display="Czech National Bank" xr:uid="{0E3E793B-5ECF-4CF4-A94B-F1DECD7D87DB}"/>
    <hyperlink ref="C17:C18" r:id="rId16" display="Introduction of recommended upper limits on the ratio of the loan amount to the value of the collateral (“LTV ratio”) and on the ratio of the consumer’s total debt to the consumer’s net income (“DTI ratio”), set at a maximum of 70% and 7 respectively, which apply only to applicants for credit secured by residential property to purchase residential property for investment purposes and to applicants for credit secured by residential property to purchase a third and each additional residential property" xr:uid="{4C13F80B-91DD-4CFA-8678-E509927BF530}"/>
    <hyperlink ref="A20:B20" r:id="rId17" display="Magyar Nemzeti Bank" xr:uid="{C240DDD2-C9A0-4AE8-B317-0F7B2F4D3F2F}"/>
    <hyperlink ref="C19:C20" r:id="rId18" display="The Magyar Nemzeti Bank (MNB) introduced the MFAR regulation in 2017. The current amendment introduces several modifications in the regulation: Increase of the de minimis limit from HUF 40 billion to HUF 100 billion, exempting non-material banks as of 1 November 2025; Extending MFAR-eligible long term stable funding to funds other than mortgage bonds issued by specialised mortgage banks, including mortgage-backed bonds regardless of the issuer and securitisation structures as of 1 October 2026; Introduction correction factor disincentivising the bank’s cross-holdings of mortgage-backed bonds as of 1 October 2026; Requirement of stock exchange listing for new mortgage-backed bond issuances as of 1 October 2026." xr:uid="{4F816C09-BDBF-454B-96D7-33905A493D56}"/>
    <hyperlink ref="A22:B22" r:id="rId19" display="Central Bank of Iceland " xr:uid="{C34828D7-5D22-4578-9617-2BAD32BB49CC}"/>
    <hyperlink ref="C21:C22" r:id="rId20" display="https://cb.is/news-and-publications/article/statement-of-the-financial-stability-committee-31-october-2025" xr:uid="{2A1F910C-8963-435B-8DBC-BBD445B1694B}"/>
  </hyperlinks>
  <pageMargins left="0.7" right="0.7" top="0.75" bottom="0.75" header="0.3" footer="0.3"/>
  <pageSetup paperSize="9" orientation="portrait" r:id="rId2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Overview of measures</vt:lpstr>
      <vt:lpstr>Other measures</vt:lpstr>
      <vt:lpstr>'Overview of measures'!Print_Area</vt:lpstr>
      <vt:lpstr>'Overview of measures'!Print_Titles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2026-01-20T09:32:09Z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{422AA42E-6FFB-4540-ACD0-1183C3D6A935}</vt:lpwstr>
  </property>
  <property fmtid="{D5CDD505-2E9C-101B-9397-08002B2CF9AE}" pid="3" name="MSIP_Label_894145f4-aec7-4462-867f-61720b9452af_Enabled">
    <vt:lpwstr>true</vt:lpwstr>
  </property>
  <property fmtid="{D5CDD505-2E9C-101B-9397-08002B2CF9AE}" pid="4" name="MSIP_Label_894145f4-aec7-4462-867f-61720b9452af_SetDate">
    <vt:lpwstr>2026-01-20T09:23:13Z</vt:lpwstr>
  </property>
  <property fmtid="{D5CDD505-2E9C-101B-9397-08002B2CF9AE}" pid="5" name="MSIP_Label_894145f4-aec7-4462-867f-61720b9452af_Method">
    <vt:lpwstr>Standard</vt:lpwstr>
  </property>
  <property fmtid="{D5CDD505-2E9C-101B-9397-08002B2CF9AE}" pid="6" name="MSIP_Label_894145f4-aec7-4462-867f-61720b9452af_Name">
    <vt:lpwstr>ECB-CONFIDENTIAL - Business</vt:lpwstr>
  </property>
  <property fmtid="{D5CDD505-2E9C-101B-9397-08002B2CF9AE}" pid="7" name="MSIP_Label_894145f4-aec7-4462-867f-61720b9452af_SiteId">
    <vt:lpwstr>b84ee435-4816-49d2-8d92-e740dbda4064</vt:lpwstr>
  </property>
  <property fmtid="{D5CDD505-2E9C-101B-9397-08002B2CF9AE}" pid="8" name="MSIP_Label_894145f4-aec7-4462-867f-61720b9452af_ActionId">
    <vt:lpwstr>a6f4427d-d454-4dbc-b670-a81d800eb4bd</vt:lpwstr>
  </property>
  <property fmtid="{D5CDD505-2E9C-101B-9397-08002B2CF9AE}" pid="9" name="MSIP_Label_894145f4-aec7-4462-867f-61720b9452af_ContentBits">
    <vt:lpwstr>0</vt:lpwstr>
  </property>
</Properties>
</file>